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nwaug\Downloads\"/>
    </mc:Choice>
  </mc:AlternateContent>
  <xr:revisionPtr revIDLastSave="0" documentId="8_{C339178D-D840-4FC2-9631-8ED4E48B0A05}" xr6:coauthVersionLast="47" xr6:coauthVersionMax="47" xr10:uidLastSave="{00000000-0000-0000-0000-000000000000}"/>
  <bookViews>
    <workbookView xWindow="-105" yWindow="0" windowWidth="14610" windowHeight="15585" tabRatio="821" activeTab="3" xr2:uid="{DDBB6B05-74F1-40E7-BFD4-231C1F43F520}"/>
  </bookViews>
  <sheets>
    <sheet name="Dashboard" sheetId="44" r:id="rId1"/>
    <sheet name="Portfolio Snapshot" sheetId="45" r:id="rId2"/>
    <sheet name="NAV" sheetId="46" r:id="rId3"/>
    <sheet name="Ledger" sheetId="47" r:id="rId4"/>
    <sheet name="StoneX Ledger" sheetId="48" state="hidden" r:id="rId5"/>
    <sheet name="Subscription" sheetId="50" state="hidden" r:id="rId6"/>
    <sheet name="Portfolio Allocation" sheetId="51" r:id="rId7"/>
    <sheet name="Daily Change" sheetId="54" r:id="rId8"/>
    <sheet name="PivotSource" sheetId="56" state="hidden" r:id="rId9"/>
  </sheets>
  <definedNames>
    <definedName name="_xlnm.Print_Area" localSheetId="0">Dashboard!$A$1:$J$84</definedName>
    <definedName name="_xlnm.Print_Area" localSheetId="1">'Portfolio Snapshot'!$A$1:$O$26</definedName>
    <definedName name="Stocks">#REF!</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56" i="46" l="1"/>
  <c r="E762" i="46"/>
  <c r="E763" i="46"/>
  <c r="E764" i="46"/>
  <c r="E765" i="46"/>
  <c r="E766" i="46"/>
  <c r="E767" i="46"/>
  <c r="E768" i="46"/>
  <c r="L760" i="46" l="1"/>
  <c r="K760" i="46"/>
  <c r="I760" i="46"/>
  <c r="H760" i="46"/>
  <c r="G760" i="46"/>
  <c r="E760" i="46"/>
  <c r="I759" i="46"/>
  <c r="H759" i="46"/>
  <c r="G759" i="46"/>
  <c r="E759" i="46"/>
  <c r="L756" i="46"/>
  <c r="L757" i="46"/>
  <c r="L758" i="46"/>
  <c r="L759" i="46"/>
  <c r="K756" i="46"/>
  <c r="K757" i="46"/>
  <c r="K758" i="46"/>
  <c r="K759" i="46"/>
  <c r="E756" i="46"/>
  <c r="G756" i="46"/>
  <c r="H756" i="46"/>
  <c r="I756" i="46"/>
  <c r="E757" i="46"/>
  <c r="G757" i="46"/>
  <c r="H757" i="46"/>
  <c r="I757" i="46"/>
  <c r="E758" i="46"/>
  <c r="G758" i="46"/>
  <c r="H758" i="46"/>
  <c r="I758" i="46"/>
  <c r="K755" i="46"/>
  <c r="L755" i="46"/>
  <c r="E755" i="46"/>
  <c r="G755" i="46"/>
  <c r="H755" i="46"/>
  <c r="I755" i="46"/>
  <c r="D20" i="45"/>
  <c r="C17" i="45"/>
  <c r="E17" i="45"/>
  <c r="F17" i="45" s="1"/>
  <c r="L9" i="47"/>
  <c r="K9" i="47"/>
  <c r="F379" i="47"/>
  <c r="E379" i="47"/>
  <c r="D379" i="47"/>
  <c r="F377" i="47"/>
  <c r="F126" i="47"/>
  <c r="E126" i="47"/>
  <c r="D126" i="47"/>
  <c r="F125" i="47"/>
  <c r="K754" i="46"/>
  <c r="L754" i="46"/>
  <c r="E754" i="46"/>
  <c r="G754" i="46"/>
  <c r="H754" i="46"/>
  <c r="I754" i="46"/>
  <c r="K753" i="46"/>
  <c r="L753" i="46"/>
  <c r="E753" i="46"/>
  <c r="G753" i="46" s="1"/>
  <c r="K752" i="46"/>
  <c r="L752" i="46"/>
  <c r="E752" i="46"/>
  <c r="G752" i="46"/>
  <c r="I752" i="46"/>
  <c r="L750" i="46"/>
  <c r="L751" i="46"/>
  <c r="K749" i="46"/>
  <c r="K750" i="46"/>
  <c r="K751" i="46"/>
  <c r="L749" i="46"/>
  <c r="E749" i="46"/>
  <c r="G749" i="46"/>
  <c r="H749" i="46"/>
  <c r="I749" i="46"/>
  <c r="E750" i="46"/>
  <c r="G750" i="46"/>
  <c r="H750" i="46"/>
  <c r="I750" i="46"/>
  <c r="E751" i="46"/>
  <c r="G751" i="46"/>
  <c r="H752" i="46" s="1"/>
  <c r="H751" i="46"/>
  <c r="I751" i="46"/>
  <c r="K748" i="46"/>
  <c r="L748" i="46"/>
  <c r="E748" i="46"/>
  <c r="G748" i="46"/>
  <c r="I748" i="46"/>
  <c r="K747" i="46"/>
  <c r="L747" i="46"/>
  <c r="E747" i="46"/>
  <c r="G747" i="46"/>
  <c r="H748" i="46" s="1"/>
  <c r="H747" i="46"/>
  <c r="I747" i="46"/>
  <c r="K746" i="46"/>
  <c r="L746" i="46"/>
  <c r="E746" i="46"/>
  <c r="G746" i="46"/>
  <c r="H746" i="46"/>
  <c r="I746" i="46"/>
  <c r="K745" i="46"/>
  <c r="L745" i="46"/>
  <c r="E745" i="46"/>
  <c r="G745" i="46"/>
  <c r="H745" i="46"/>
  <c r="I745" i="46"/>
  <c r="L743" i="46"/>
  <c r="L744" i="46"/>
  <c r="K742" i="46"/>
  <c r="K743" i="46"/>
  <c r="K744" i="46"/>
  <c r="L742" i="46"/>
  <c r="E743" i="46"/>
  <c r="G743" i="46"/>
  <c r="H743" i="46"/>
  <c r="I743" i="46"/>
  <c r="E744" i="46"/>
  <c r="G744" i="46"/>
  <c r="H744" i="46"/>
  <c r="I744" i="46"/>
  <c r="E742" i="46"/>
  <c r="G742" i="46"/>
  <c r="H742" i="46"/>
  <c r="I742" i="46"/>
  <c r="F43" i="48"/>
  <c r="G43" i="48" s="1"/>
  <c r="H43" i="48" s="1"/>
  <c r="K741" i="46"/>
  <c r="L741" i="46"/>
  <c r="E741" i="46"/>
  <c r="G741" i="46"/>
  <c r="H741" i="46"/>
  <c r="I741" i="46"/>
  <c r="K740" i="46"/>
  <c r="L740" i="46"/>
  <c r="E740" i="46"/>
  <c r="G740" i="46"/>
  <c r="I740" i="46"/>
  <c r="K739" i="46"/>
  <c r="L739" i="46"/>
  <c r="E739" i="46"/>
  <c r="G739" i="46"/>
  <c r="H740" i="46"/>
  <c r="I739" i="46"/>
  <c r="K738" i="46"/>
  <c r="L738" i="46"/>
  <c r="E738" i="46"/>
  <c r="G738" i="46"/>
  <c r="H739" i="46"/>
  <c r="H738" i="46"/>
  <c r="I738" i="46"/>
  <c r="N67" i="47"/>
  <c r="O67" i="47" s="1"/>
  <c r="M67" i="47"/>
  <c r="F367" i="47"/>
  <c r="M75" i="47" s="1"/>
  <c r="F329" i="47"/>
  <c r="F321" i="47"/>
  <c r="F320" i="47"/>
  <c r="E735" i="46"/>
  <c r="G735" i="46"/>
  <c r="I735" i="46"/>
  <c r="K735" i="46"/>
  <c r="L735" i="46"/>
  <c r="E736" i="46"/>
  <c r="G736" i="46"/>
  <c r="K736" i="46"/>
  <c r="L736" i="46"/>
  <c r="E737" i="46"/>
  <c r="G737" i="46"/>
  <c r="K737" i="46"/>
  <c r="L737" i="46"/>
  <c r="K734" i="46"/>
  <c r="L734" i="46"/>
  <c r="E734" i="46"/>
  <c r="G734" i="46"/>
  <c r="K733" i="46"/>
  <c r="L733" i="46"/>
  <c r="E733" i="46"/>
  <c r="G733" i="46"/>
  <c r="K732" i="46"/>
  <c r="L732" i="46"/>
  <c r="E732" i="46"/>
  <c r="G732" i="46"/>
  <c r="I732" i="46"/>
  <c r="F28" i="44"/>
  <c r="F23" i="44"/>
  <c r="F21" i="44"/>
  <c r="F22" i="44"/>
  <c r="K731" i="46"/>
  <c r="L731" i="46"/>
  <c r="E731" i="46"/>
  <c r="G731" i="46"/>
  <c r="L82" i="47"/>
  <c r="J82" i="47"/>
  <c r="M81" i="47"/>
  <c r="L81" i="47"/>
  <c r="J81" i="47"/>
  <c r="M80" i="47"/>
  <c r="L80" i="47"/>
  <c r="J80" i="47"/>
  <c r="D147" i="47"/>
  <c r="F146" i="47"/>
  <c r="D244" i="47"/>
  <c r="F243" i="47"/>
  <c r="D132" i="47"/>
  <c r="F131" i="47"/>
  <c r="L729" i="46"/>
  <c r="L730" i="46"/>
  <c r="K728" i="46"/>
  <c r="K729" i="46"/>
  <c r="K730" i="46"/>
  <c r="L728" i="46"/>
  <c r="E728" i="46"/>
  <c r="G728" i="46"/>
  <c r="I728" i="46"/>
  <c r="E729" i="46"/>
  <c r="G729" i="46"/>
  <c r="H729" i="46"/>
  <c r="I729" i="46"/>
  <c r="E730" i="46"/>
  <c r="G730" i="46"/>
  <c r="H731" i="46"/>
  <c r="H730" i="46"/>
  <c r="I730" i="46"/>
  <c r="E188" i="47"/>
  <c r="G57" i="48"/>
  <c r="E57" i="48"/>
  <c r="H56" i="48"/>
  <c r="I56" i="48"/>
  <c r="I43" i="48"/>
  <c r="F363" i="47"/>
  <c r="K727" i="46"/>
  <c r="L727" i="46"/>
  <c r="E727" i="46"/>
  <c r="G727" i="46"/>
  <c r="H728" i="46"/>
  <c r="I727" i="46"/>
  <c r="K726" i="46"/>
  <c r="L726" i="46"/>
  <c r="E726" i="46"/>
  <c r="G726" i="46"/>
  <c r="H727" i="46"/>
  <c r="I726" i="46"/>
  <c r="F330" i="47"/>
  <c r="N79" i="47" s="1"/>
  <c r="K725" i="46"/>
  <c r="L725" i="46"/>
  <c r="E725" i="46"/>
  <c r="G725" i="46"/>
  <c r="H726" i="46"/>
  <c r="I725" i="46"/>
  <c r="D369" i="47"/>
  <c r="F368" i="47"/>
  <c r="D284" i="47"/>
  <c r="F283" i="47"/>
  <c r="D259" i="47"/>
  <c r="F258" i="47"/>
  <c r="D255" i="47"/>
  <c r="F254" i="47"/>
  <c r="K724" i="46"/>
  <c r="L724" i="46"/>
  <c r="E724" i="46"/>
  <c r="G724" i="46"/>
  <c r="H725" i="46"/>
  <c r="I724" i="46"/>
  <c r="K721" i="46"/>
  <c r="L721" i="46"/>
  <c r="K722" i="46"/>
  <c r="L722" i="46"/>
  <c r="K723" i="46"/>
  <c r="L723" i="46"/>
  <c r="E722" i="46"/>
  <c r="G722" i="46"/>
  <c r="E723" i="46"/>
  <c r="G723" i="46"/>
  <c r="H724" i="46"/>
  <c r="I723" i="46"/>
  <c r="E721" i="46"/>
  <c r="G721" i="46"/>
  <c r="I721" i="46"/>
  <c r="K720" i="46"/>
  <c r="L720" i="46"/>
  <c r="E720" i="46"/>
  <c r="K719" i="46"/>
  <c r="L719" i="46"/>
  <c r="E719" i="46"/>
  <c r="K718" i="46"/>
  <c r="L718" i="46"/>
  <c r="E718" i="46"/>
  <c r="G718" i="46"/>
  <c r="K717" i="46"/>
  <c r="L717" i="46"/>
  <c r="E717" i="46"/>
  <c r="C7" i="54" a="1"/>
  <c r="C6" i="54" a="1"/>
  <c r="C2" i="54" a="1"/>
  <c r="L715" i="46"/>
  <c r="L716" i="46"/>
  <c r="K714" i="46"/>
  <c r="K715" i="46"/>
  <c r="K716" i="46"/>
  <c r="L714" i="46"/>
  <c r="E714" i="46"/>
  <c r="E715" i="46"/>
  <c r="E716" i="46"/>
  <c r="C5" i="54" a="1"/>
  <c r="K713" i="46"/>
  <c r="L713" i="46"/>
  <c r="E713" i="46"/>
  <c r="K712" i="46"/>
  <c r="L712" i="46"/>
  <c r="E712" i="46"/>
  <c r="G712" i="46"/>
  <c r="E711" i="46"/>
  <c r="K711" i="46"/>
  <c r="L711" i="46"/>
  <c r="K710" i="46"/>
  <c r="L710" i="46"/>
  <c r="E710" i="46"/>
  <c r="L708" i="46"/>
  <c r="L709" i="46"/>
  <c r="K707" i="46"/>
  <c r="K708" i="46"/>
  <c r="K709" i="46"/>
  <c r="L707" i="46"/>
  <c r="E708" i="46"/>
  <c r="G708" i="46"/>
  <c r="E709" i="46"/>
  <c r="E707" i="46"/>
  <c r="K706" i="46"/>
  <c r="L706" i="46"/>
  <c r="E706" i="46"/>
  <c r="K705" i="46"/>
  <c r="L705" i="46"/>
  <c r="E705" i="46"/>
  <c r="G705" i="46"/>
  <c r="K704" i="46"/>
  <c r="L704" i="46"/>
  <c r="E704" i="46"/>
  <c r="G704" i="46"/>
  <c r="K703" i="46"/>
  <c r="L703" i="46"/>
  <c r="E703" i="46"/>
  <c r="G703" i="46"/>
  <c r="L701" i="46"/>
  <c r="L702" i="46"/>
  <c r="K700" i="46"/>
  <c r="K701" i="46"/>
  <c r="K702" i="46"/>
  <c r="L700" i="46"/>
  <c r="E700" i="46"/>
  <c r="G700" i="46"/>
  <c r="E701" i="46"/>
  <c r="G701" i="46"/>
  <c r="H701" i="46"/>
  <c r="E702" i="46"/>
  <c r="G702" i="46"/>
  <c r="H702" i="46"/>
  <c r="K699" i="46"/>
  <c r="L699" i="46"/>
  <c r="E699" i="46"/>
  <c r="K698" i="46"/>
  <c r="L698" i="46"/>
  <c r="E698" i="46"/>
  <c r="K697" i="46"/>
  <c r="L697" i="46"/>
  <c r="E697" i="46"/>
  <c r="K696" i="46"/>
  <c r="L696" i="46"/>
  <c r="E696" i="46"/>
  <c r="G697" i="46"/>
  <c r="G699" i="46"/>
  <c r="G698" i="46"/>
  <c r="L694" i="46"/>
  <c r="L695" i="46"/>
  <c r="K693" i="46"/>
  <c r="K694" i="46"/>
  <c r="K695" i="46"/>
  <c r="L693" i="46"/>
  <c r="E693" i="46"/>
  <c r="G693" i="46"/>
  <c r="E694" i="46"/>
  <c r="G694" i="46"/>
  <c r="E695" i="46"/>
  <c r="H699" i="46"/>
  <c r="H698" i="46"/>
  <c r="F196" i="47"/>
  <c r="N74" i="47"/>
  <c r="D197" i="47"/>
  <c r="A2" i="54" a="1"/>
  <c r="D2" i="54" a="1"/>
  <c r="F2" i="54" a="1"/>
  <c r="A3" i="54" a="1"/>
  <c r="C3" i="54" a="1"/>
  <c r="D3" i="54" a="1"/>
  <c r="F3" i="54" a="1"/>
  <c r="A4" i="54" a="1"/>
  <c r="C4" i="54" a="1"/>
  <c r="D4" i="54" a="1"/>
  <c r="F4" i="54" a="1"/>
  <c r="A5" i="54" a="1"/>
  <c r="D5" i="54" a="1"/>
  <c r="F5" i="54" a="1"/>
  <c r="A6" i="54" a="1"/>
  <c r="D6" i="54" a="1"/>
  <c r="F6" i="54" a="1"/>
  <c r="A7" i="54" a="1"/>
  <c r="D7" i="54" a="1"/>
  <c r="F7" i="54" a="1"/>
  <c r="A8" i="54" a="1"/>
  <c r="C8" i="54" a="1"/>
  <c r="D8" i="54" a="1"/>
  <c r="F8" i="54" a="1"/>
  <c r="A9" i="54" a="1"/>
  <c r="C9" i="54" a="1"/>
  <c r="D9" i="54" a="1"/>
  <c r="F9" i="54" a="1"/>
  <c r="A10" i="54" a="1"/>
  <c r="C10" i="54" a="1"/>
  <c r="D10" i="54" a="1"/>
  <c r="F10" i="54" a="1"/>
  <c r="A11" i="54" a="1"/>
  <c r="C11" i="54" a="1"/>
  <c r="D11" i="54" a="1"/>
  <c r="F11" i="54" a="1"/>
  <c r="A12" i="54" a="1"/>
  <c r="C12" i="54" a="1"/>
  <c r="D12" i="54" a="1"/>
  <c r="F12" i="54" a="1"/>
  <c r="A13" i="54" a="1"/>
  <c r="C13" i="54" a="1"/>
  <c r="D13" i="54" a="1"/>
  <c r="F13" i="54" a="1"/>
  <c r="A14" i="54" a="1"/>
  <c r="C14" i="54" a="1"/>
  <c r="D14" i="54" a="1"/>
  <c r="F14" i="54" a="1"/>
  <c r="A15" i="54" a="1"/>
  <c r="C15" i="54" a="1"/>
  <c r="D15" i="54" a="1"/>
  <c r="F15" i="54" a="1"/>
  <c r="A16" i="54" a="1"/>
  <c r="C16" i="54" a="1"/>
  <c r="D16" i="54" a="1"/>
  <c r="F16" i="54" a="1"/>
  <c r="A17" i="54" a="1"/>
  <c r="C17" i="54" a="1"/>
  <c r="D17" i="54" a="1"/>
  <c r="F17" i="54" a="1"/>
  <c r="A18" i="54" a="1"/>
  <c r="C18" i="54" a="1"/>
  <c r="D18" i="54" a="1"/>
  <c r="F18" i="54" a="1"/>
  <c r="A19" i="54" a="1"/>
  <c r="C19" i="54" a="1"/>
  <c r="D19" i="54" a="1"/>
  <c r="F19" i="54" a="1"/>
  <c r="A20" i="54" a="1"/>
  <c r="C20" i="54" a="1"/>
  <c r="D20" i="54" a="1"/>
  <c r="F20" i="54" a="1"/>
  <c r="A21" i="54" a="1"/>
  <c r="C21" i="54" a="1"/>
  <c r="D21" i="54" a="1"/>
  <c r="F21" i="54" a="1"/>
  <c r="A22" i="54" a="1"/>
  <c r="C22" i="54" a="1"/>
  <c r="D22" i="54" a="1"/>
  <c r="F22" i="54" a="1"/>
  <c r="A23" i="54" a="1"/>
  <c r="C23" i="54" a="1"/>
  <c r="D23" i="54" a="1"/>
  <c r="F23" i="54" a="1"/>
  <c r="A24" i="54" a="1"/>
  <c r="C24" i="54" a="1"/>
  <c r="D24" i="54" a="1"/>
  <c r="F24" i="54" a="1"/>
  <c r="A25" i="54" a="1"/>
  <c r="C25" i="54" a="1"/>
  <c r="D25" i="54" a="1"/>
  <c r="F25" i="54" a="1"/>
  <c r="A26" i="54" a="1"/>
  <c r="C26" i="54" a="1"/>
  <c r="D26" i="54" a="1"/>
  <c r="F26" i="54" a="1"/>
  <c r="A27" i="54" a="1"/>
  <c r="C27" i="54" a="1"/>
  <c r="D27" i="54" a="1"/>
  <c r="F27" i="54" a="1"/>
  <c r="A28" i="54" a="1"/>
  <c r="C28" i="54" a="1"/>
  <c r="D28" i="54" a="1"/>
  <c r="F28" i="54" a="1"/>
  <c r="A29" i="54" a="1"/>
  <c r="C29" i="54" a="1"/>
  <c r="D29" i="54" a="1"/>
  <c r="F29" i="54" a="1"/>
  <c r="A30" i="54" a="1"/>
  <c r="C30" i="54" a="1"/>
  <c r="D30" i="54" a="1"/>
  <c r="F30" i="54" a="1"/>
  <c r="A31" i="54" a="1"/>
  <c r="C31" i="54" a="1"/>
  <c r="D31" i="54" a="1"/>
  <c r="F31" i="54" a="1"/>
  <c r="A32" i="54" a="1"/>
  <c r="C32" i="54" a="1"/>
  <c r="D32" i="54" a="1"/>
  <c r="F32" i="54" a="1"/>
  <c r="A33" i="54" a="1"/>
  <c r="C33" i="54" a="1"/>
  <c r="D33" i="54" a="1"/>
  <c r="F33" i="54" a="1"/>
  <c r="A34" i="54" a="1"/>
  <c r="C34" i="54" a="1"/>
  <c r="D34" i="54" a="1"/>
  <c r="F34" i="54" a="1"/>
  <c r="A35" i="54" a="1"/>
  <c r="C35" i="54" a="1"/>
  <c r="D35" i="54" a="1"/>
  <c r="F35" i="54" a="1"/>
  <c r="A36" i="54" a="1"/>
  <c r="C36" i="54" a="1"/>
  <c r="D36" i="54" a="1"/>
  <c r="F36" i="54" a="1"/>
  <c r="C37" i="54" a="1"/>
  <c r="D37" i="54" a="1"/>
  <c r="C38" i="54" a="1"/>
  <c r="D38" i="54" a="1"/>
  <c r="C39" i="54" a="1"/>
  <c r="D39" i="54" a="1"/>
  <c r="F39" i="54" a="1"/>
  <c r="A40" i="54" a="1"/>
  <c r="C40" i="54" a="1"/>
  <c r="D40" i="54" a="1"/>
  <c r="F40" i="54" a="1"/>
  <c r="A41" i="54" a="1"/>
  <c r="C41" i="54" a="1"/>
  <c r="D41" i="54" a="1"/>
  <c r="A42" i="54" a="1"/>
  <c r="C42" i="54" a="1"/>
  <c r="D42" i="54" a="1"/>
  <c r="F42" i="54" a="1"/>
  <c r="A43" i="54" a="1"/>
  <c r="C43" i="54" a="1"/>
  <c r="D43" i="54" a="1"/>
  <c r="F43" i="54" a="1"/>
  <c r="A44" i="54" a="1"/>
  <c r="C44" i="54" a="1"/>
  <c r="D44" i="54" a="1"/>
  <c r="F44" i="54" a="1"/>
  <c r="A45" i="54" a="1"/>
  <c r="C45" i="54" a="1"/>
  <c r="D45" i="54" a="1"/>
  <c r="F45" i="54" a="1"/>
  <c r="A46" i="54" a="1"/>
  <c r="C46" i="54" a="1"/>
  <c r="D46" i="54" a="1"/>
  <c r="F46" i="54" a="1"/>
  <c r="A47" i="54" a="1"/>
  <c r="C47" i="54" a="1"/>
  <c r="D47" i="54" a="1"/>
  <c r="F47" i="54" a="1"/>
  <c r="A48" i="54" a="1"/>
  <c r="C48" i="54" a="1"/>
  <c r="D48" i="54" a="1"/>
  <c r="F48" i="54" a="1"/>
  <c r="A49" i="54" a="1"/>
  <c r="C49" i="54" a="1"/>
  <c r="D49" i="54" a="1"/>
  <c r="F49" i="54" a="1"/>
  <c r="A50" i="54" a="1"/>
  <c r="C50" i="54" a="1"/>
  <c r="D50" i="54" a="1"/>
  <c r="F50" i="54" a="1"/>
  <c r="A51" i="54" a="1"/>
  <c r="C51" i="54" a="1"/>
  <c r="D51" i="54" a="1"/>
  <c r="F51" i="54" a="1"/>
  <c r="A52" i="54" a="1"/>
  <c r="C52" i="54" a="1"/>
  <c r="D52" i="54" a="1"/>
  <c r="F52" i="54" a="1"/>
  <c r="A53" i="54" a="1"/>
  <c r="C53" i="54" a="1"/>
  <c r="D53" i="54" a="1"/>
  <c r="F53" i="54" a="1"/>
  <c r="A54" i="54" a="1"/>
  <c r="C54" i="54" a="1"/>
  <c r="D54" i="54" a="1"/>
  <c r="F54" i="54" a="1"/>
  <c r="A55" i="54" a="1"/>
  <c r="C55" i="54" a="1"/>
  <c r="D55" i="54" a="1"/>
  <c r="F55" i="54" a="1"/>
  <c r="A56" i="54" a="1"/>
  <c r="C56" i="54" a="1"/>
  <c r="D56" i="54" a="1"/>
  <c r="A57" i="54" a="1"/>
  <c r="C57" i="54" a="1"/>
  <c r="D57" i="54" a="1"/>
  <c r="A58" i="54" a="1"/>
  <c r="C58" i="54" a="1"/>
  <c r="D58" i="54" a="1"/>
  <c r="F58" i="54" a="1"/>
  <c r="A59" i="54" a="1"/>
  <c r="C59" i="54" a="1"/>
  <c r="D59" i="54" a="1"/>
  <c r="A60" i="54" a="1"/>
  <c r="C60" i="54" a="1"/>
  <c r="D60" i="54" a="1"/>
  <c r="F60" i="54" a="1"/>
  <c r="A61" i="54" a="1"/>
  <c r="C61" i="54" a="1"/>
  <c r="D61" i="54" a="1"/>
  <c r="A62" i="54" a="1"/>
  <c r="C62" i="54" a="1"/>
  <c r="D62" i="54" a="1"/>
  <c r="F62" i="54" a="1"/>
  <c r="A63" i="54" a="1"/>
  <c r="C63" i="54" a="1"/>
  <c r="D63" i="54" a="1"/>
  <c r="F63" i="54" a="1"/>
  <c r="A64" i="54" a="1"/>
  <c r="C64" i="54" a="1"/>
  <c r="D64" i="54" a="1"/>
  <c r="F64" i="54" a="1"/>
  <c r="C65" i="54" a="1"/>
  <c r="D65" i="54" a="1"/>
  <c r="F65" i="54" a="1"/>
  <c r="A66" i="54" a="1"/>
  <c r="C66" i="54" a="1"/>
  <c r="D66" i="54" a="1"/>
  <c r="F66" i="54" a="1"/>
  <c r="A67" i="54" a="1"/>
  <c r="C67" i="54" a="1"/>
  <c r="D67" i="54" a="1"/>
  <c r="F67" i="54" a="1"/>
  <c r="A68" i="54" a="1"/>
  <c r="C68" i="54" a="1"/>
  <c r="D68" i="54" a="1"/>
  <c r="F68" i="54" a="1"/>
  <c r="A69" i="54" a="1"/>
  <c r="C69" i="54" a="1"/>
  <c r="D69" i="54" a="1"/>
  <c r="F69" i="54" a="1"/>
  <c r="A70" i="54" a="1"/>
  <c r="C70" i="54" a="1"/>
  <c r="D70" i="54" a="1"/>
  <c r="F70" i="54" a="1"/>
  <c r="A71" i="54" a="1"/>
  <c r="C71" i="54" a="1"/>
  <c r="D71" i="54" a="1"/>
  <c r="F71" i="54" a="1"/>
  <c r="A72" i="54" a="1"/>
  <c r="C72" i="54" a="1"/>
  <c r="D72" i="54" a="1"/>
  <c r="F72" i="54" a="1"/>
  <c r="A73" i="54" a="1"/>
  <c r="C73" i="54" a="1"/>
  <c r="D73" i="54" a="1"/>
  <c r="F73" i="54" a="1"/>
  <c r="A74" i="54" a="1"/>
  <c r="C74" i="54" a="1"/>
  <c r="D74" i="54" a="1"/>
  <c r="F74" i="54" a="1"/>
  <c r="A75" i="54" a="1"/>
  <c r="C75" i="54" a="1"/>
  <c r="D75" i="54" a="1"/>
  <c r="F75" i="54" a="1"/>
  <c r="A76" i="54" a="1"/>
  <c r="C76" i="54" a="1"/>
  <c r="D76" i="54" a="1"/>
  <c r="F76" i="54" a="1"/>
  <c r="A77" i="54" a="1"/>
  <c r="C77" i="54" a="1"/>
  <c r="D77" i="54" a="1"/>
  <c r="F77" i="54" a="1"/>
  <c r="A78" i="54" a="1"/>
  <c r="C78" i="54" a="1"/>
  <c r="D78" i="54" a="1"/>
  <c r="F78" i="54" a="1"/>
  <c r="A79" i="54" a="1"/>
  <c r="C79" i="54" a="1"/>
  <c r="D79" i="54" a="1"/>
  <c r="F79" i="54" a="1"/>
  <c r="A80" i="54" a="1"/>
  <c r="C80" i="54" a="1"/>
  <c r="D80" i="54" a="1"/>
  <c r="F80" i="54" a="1"/>
  <c r="A81" i="54" a="1"/>
  <c r="C81" i="54" a="1"/>
  <c r="D81" i="54" a="1"/>
  <c r="F81" i="54" a="1"/>
  <c r="A82" i="54" a="1"/>
  <c r="C82" i="54" a="1"/>
  <c r="D82" i="54" a="1"/>
  <c r="F82" i="54" a="1"/>
  <c r="A83" i="54" a="1"/>
  <c r="C83" i="54" a="1"/>
  <c r="D83" i="54" a="1"/>
  <c r="F83" i="54" a="1"/>
  <c r="A84" i="54" a="1"/>
  <c r="C84" i="54" a="1"/>
  <c r="D84" i="54" a="1"/>
  <c r="F84" i="54" a="1"/>
  <c r="A85" i="54" a="1"/>
  <c r="C85" i="54" a="1"/>
  <c r="D85" i="54" a="1"/>
  <c r="F85" i="54" a="1"/>
  <c r="A86" i="54" a="1"/>
  <c r="C86" i="54" a="1"/>
  <c r="D86" i="54" a="1"/>
  <c r="F86" i="54" a="1"/>
  <c r="A87" i="54" a="1"/>
  <c r="C87" i="54" a="1"/>
  <c r="D87" i="54" a="1"/>
  <c r="F87" i="54" a="1"/>
  <c r="C88" i="54" a="1"/>
  <c r="D88" i="54" a="1"/>
  <c r="F88" i="54" a="1"/>
  <c r="C89" i="54" a="1"/>
  <c r="D89" i="54" a="1"/>
  <c r="F89" i="54" a="1"/>
  <c r="C90" i="54" a="1"/>
  <c r="D90" i="54" a="1"/>
  <c r="F90" i="54" a="1"/>
  <c r="C91" i="54" a="1"/>
  <c r="D91" i="54" a="1"/>
  <c r="F91" i="54" a="1"/>
  <c r="C92" i="54" a="1"/>
  <c r="D92" i="54" a="1"/>
  <c r="F92" i="54" a="1"/>
  <c r="C93" i="54" a="1"/>
  <c r="D93" i="54" a="1"/>
  <c r="F93" i="54" a="1"/>
  <c r="C94" i="54" a="1"/>
  <c r="D94" i="54" a="1"/>
  <c r="F94" i="54" a="1"/>
  <c r="C95" i="54" a="1"/>
  <c r="D95" i="54" a="1"/>
  <c r="F95" i="54" a="1"/>
  <c r="C96" i="54" a="1"/>
  <c r="D96" i="54" a="1"/>
  <c r="F96" i="54" a="1"/>
  <c r="C97" i="54" a="1"/>
  <c r="D97" i="54" a="1"/>
  <c r="F97" i="54" a="1"/>
  <c r="C98" i="54" a="1"/>
  <c r="D98" i="54" a="1"/>
  <c r="F98" i="54" a="1"/>
  <c r="C99" i="54" a="1"/>
  <c r="D99" i="54" a="1"/>
  <c r="F99" i="54" a="1"/>
  <c r="C100" i="54" a="1"/>
  <c r="D100" i="54" a="1"/>
  <c r="F100" i="54" a="1"/>
  <c r="C101" i="54" a="1"/>
  <c r="D101" i="54" a="1"/>
  <c r="F101" i="54" a="1"/>
  <c r="C102" i="54" a="1"/>
  <c r="D102" i="54" a="1"/>
  <c r="F102" i="54" a="1"/>
  <c r="C103" i="54" a="1"/>
  <c r="D103" i="54" a="1"/>
  <c r="F103" i="54" a="1"/>
  <c r="C104" i="54" a="1"/>
  <c r="D104" i="54" a="1"/>
  <c r="F104" i="54" a="1"/>
  <c r="C105" i="54" a="1"/>
  <c r="D105" i="54" a="1"/>
  <c r="F105" i="54" a="1"/>
  <c r="C106" i="54" a="1"/>
  <c r="D106" i="54" a="1"/>
  <c r="F106" i="54" a="1"/>
  <c r="C107" i="54" a="1"/>
  <c r="D107" i="54" a="1"/>
  <c r="F107" i="54" a="1"/>
  <c r="C108" i="54" a="1"/>
  <c r="D108" i="54" a="1"/>
  <c r="F108" i="54" a="1"/>
  <c r="C109" i="54" a="1"/>
  <c r="D109" i="54" a="1"/>
  <c r="F109" i="54" a="1"/>
  <c r="K3" i="51"/>
  <c r="D12" i="51"/>
  <c r="K12" i="51"/>
  <c r="K13" i="51"/>
  <c r="G14" i="51"/>
  <c r="K14" i="51"/>
  <c r="D16" i="51"/>
  <c r="G16" i="51"/>
  <c r="H16" i="51" s="1"/>
  <c r="K16" i="51"/>
  <c r="K17" i="51"/>
  <c r="K18" i="51"/>
  <c r="K19" i="51"/>
  <c r="D21" i="51"/>
  <c r="K21" i="51"/>
  <c r="K22" i="51"/>
  <c r="G26" i="51"/>
  <c r="K26" i="51"/>
  <c r="D29" i="51"/>
  <c r="K29" i="51"/>
  <c r="G30" i="51"/>
  <c r="K30" i="51"/>
  <c r="G31" i="51"/>
  <c r="K31" i="51"/>
  <c r="G39" i="51"/>
  <c r="K39" i="51"/>
  <c r="G41" i="51"/>
  <c r="K41" i="51"/>
  <c r="D43" i="51"/>
  <c r="K43" i="51"/>
  <c r="K44" i="51"/>
  <c r="F45" i="51"/>
  <c r="K45" i="51"/>
  <c r="D35" i="44" s="1"/>
  <c r="J46" i="51"/>
  <c r="K46" i="51"/>
  <c r="E2" i="50"/>
  <c r="C3" i="50"/>
  <c r="E4" i="50"/>
  <c r="F4" i="48"/>
  <c r="F5" i="48"/>
  <c r="J6" i="48"/>
  <c r="J7" i="48"/>
  <c r="D38" i="48"/>
  <c r="D39" i="48"/>
  <c r="H48" i="48"/>
  <c r="H49" i="48"/>
  <c r="H50" i="48"/>
  <c r="H51" i="48"/>
  <c r="H52" i="48"/>
  <c r="H53" i="48"/>
  <c r="H54" i="48"/>
  <c r="H55" i="48"/>
  <c r="C60" i="48"/>
  <c r="F4" i="47"/>
  <c r="F5" i="47"/>
  <c r="F6" i="47"/>
  <c r="F7" i="47"/>
  <c r="F8" i="47"/>
  <c r="F9" i="47"/>
  <c r="F10" i="47"/>
  <c r="F11" i="47"/>
  <c r="F12" i="47"/>
  <c r="F13" i="47"/>
  <c r="F14" i="47"/>
  <c r="F15" i="47"/>
  <c r="F16" i="47"/>
  <c r="F17" i="47"/>
  <c r="F18" i="47"/>
  <c r="F19" i="47"/>
  <c r="F20" i="47"/>
  <c r="F21" i="47"/>
  <c r="F22" i="47"/>
  <c r="F23" i="47"/>
  <c r="F24" i="47"/>
  <c r="F25" i="47"/>
  <c r="F26" i="47"/>
  <c r="F27" i="47"/>
  <c r="F28" i="47"/>
  <c r="F29" i="47"/>
  <c r="F30" i="47"/>
  <c r="F31" i="47"/>
  <c r="F32" i="47"/>
  <c r="F33" i="47"/>
  <c r="F34" i="47"/>
  <c r="F35" i="47"/>
  <c r="F36" i="47"/>
  <c r="F37" i="47"/>
  <c r="F38" i="47"/>
  <c r="F39" i="47"/>
  <c r="F40" i="47"/>
  <c r="F41" i="47"/>
  <c r="F42" i="47"/>
  <c r="F43" i="47"/>
  <c r="F44" i="47"/>
  <c r="F45" i="47"/>
  <c r="F46" i="47"/>
  <c r="F47" i="47"/>
  <c r="F48" i="47"/>
  <c r="F49" i="47" s="1"/>
  <c r="F50" i="47" s="1"/>
  <c r="F51" i="47" s="1"/>
  <c r="F52" i="47" s="1"/>
  <c r="F53" i="47" s="1"/>
  <c r="F54" i="47" s="1"/>
  <c r="F55" i="47" s="1"/>
  <c r="F56" i="47" s="1"/>
  <c r="F57" i="47" s="1"/>
  <c r="F58" i="47" s="1"/>
  <c r="F59" i="47" s="1"/>
  <c r="F60" i="47" s="1"/>
  <c r="F61" i="47" s="1"/>
  <c r="F62" i="47" s="1"/>
  <c r="F63" i="47" s="1"/>
  <c r="F64" i="47" s="1"/>
  <c r="F65" i="47" s="1"/>
  <c r="F66" i="47" s="1"/>
  <c r="F67" i="47" s="1"/>
  <c r="F68" i="47" s="1"/>
  <c r="F69" i="47" s="1"/>
  <c r="F70" i="47" s="1"/>
  <c r="F71" i="47" s="1"/>
  <c r="F72" i="47" s="1"/>
  <c r="F73" i="47" s="1"/>
  <c r="F74" i="47" s="1"/>
  <c r="F75" i="47" s="1"/>
  <c r="F76" i="47" s="1"/>
  <c r="F77" i="47" s="1"/>
  <c r="F78" i="47" s="1"/>
  <c r="F79" i="47" s="1"/>
  <c r="F80" i="47" s="1"/>
  <c r="F81" i="47" s="1"/>
  <c r="F82" i="47" s="1"/>
  <c r="F83" i="47" s="1"/>
  <c r="F84" i="47" s="1"/>
  <c r="F85" i="47" s="1"/>
  <c r="F86" i="47" s="1"/>
  <c r="F87" i="47" s="1"/>
  <c r="F88" i="47" s="1"/>
  <c r="F89" i="47" s="1"/>
  <c r="F90" i="47" s="1"/>
  <c r="F91" i="47" s="1"/>
  <c r="F92" i="47" s="1"/>
  <c r="F93" i="47" s="1"/>
  <c r="F94" i="47" s="1"/>
  <c r="F95" i="47" s="1"/>
  <c r="F96" i="47" s="1"/>
  <c r="F97" i="47" s="1"/>
  <c r="F98" i="47" s="1"/>
  <c r="F99" i="47" s="1"/>
  <c r="F100" i="47" s="1"/>
  <c r="K6" i="47"/>
  <c r="L6" i="47"/>
  <c r="K8" i="47"/>
  <c r="C3" i="45"/>
  <c r="L8" i="47"/>
  <c r="K10" i="47"/>
  <c r="L10" i="47"/>
  <c r="K11" i="47"/>
  <c r="C5" i="45"/>
  <c r="L11" i="47"/>
  <c r="E5" i="45"/>
  <c r="K14" i="47"/>
  <c r="C7" i="45"/>
  <c r="L14" i="47"/>
  <c r="K16" i="47"/>
  <c r="K19" i="47"/>
  <c r="C8" i="45"/>
  <c r="L19" i="47"/>
  <c r="E8" i="45"/>
  <c r="K22" i="47"/>
  <c r="C9" i="45"/>
  <c r="F9" i="45" s="1"/>
  <c r="L22" i="47"/>
  <c r="E9" i="45"/>
  <c r="L30" i="47"/>
  <c r="H48" i="47"/>
  <c r="M52" i="47"/>
  <c r="N52" i="47"/>
  <c r="O52" i="47"/>
  <c r="P52" i="47"/>
  <c r="M53" i="47"/>
  <c r="N53" i="47"/>
  <c r="M54" i="47"/>
  <c r="N54" i="47"/>
  <c r="M55" i="47"/>
  <c r="N55" i="47"/>
  <c r="M56" i="47"/>
  <c r="N56" i="47"/>
  <c r="O56" i="47"/>
  <c r="P56" i="47"/>
  <c r="M57" i="47"/>
  <c r="N57" i="47"/>
  <c r="M58" i="47"/>
  <c r="N58" i="47"/>
  <c r="M59" i="47"/>
  <c r="N59" i="47"/>
  <c r="N60" i="47"/>
  <c r="N61" i="47"/>
  <c r="M62" i="47"/>
  <c r="M64" i="47"/>
  <c r="N64" i="47"/>
  <c r="M65" i="47"/>
  <c r="N65" i="47"/>
  <c r="M66" i="47"/>
  <c r="N66" i="47"/>
  <c r="O66" i="47"/>
  <c r="P66" i="47"/>
  <c r="N68" i="47"/>
  <c r="M69" i="47"/>
  <c r="N69" i="47"/>
  <c r="M70" i="47"/>
  <c r="N70" i="47"/>
  <c r="N71" i="47"/>
  <c r="M72" i="47"/>
  <c r="N72" i="47"/>
  <c r="O72" i="47"/>
  <c r="P72" i="47"/>
  <c r="N73" i="47"/>
  <c r="F144" i="47"/>
  <c r="F145" i="47"/>
  <c r="F162" i="47"/>
  <c r="F163" i="47"/>
  <c r="D163" i="47"/>
  <c r="F170" i="47"/>
  <c r="D171" i="47"/>
  <c r="F171" i="47"/>
  <c r="F175" i="47"/>
  <c r="F177" i="47"/>
  <c r="D177" i="47"/>
  <c r="E177" i="47"/>
  <c r="F195" i="47"/>
  <c r="F202" i="47"/>
  <c r="D203" i="47"/>
  <c r="F203" i="47"/>
  <c r="F212" i="47"/>
  <c r="F213" i="47"/>
  <c r="D214" i="47"/>
  <c r="K30" i="47"/>
  <c r="F218" i="47"/>
  <c r="F219" i="47"/>
  <c r="D219" i="47"/>
  <c r="D250" i="47"/>
  <c r="F250" i="47"/>
  <c r="F253" i="47"/>
  <c r="M76" i="47"/>
  <c r="F257" i="47"/>
  <c r="M77" i="47"/>
  <c r="F261" i="47"/>
  <c r="H261" i="47" s="1"/>
  <c r="M68" i="47"/>
  <c r="F263" i="47"/>
  <c r="F264" i="47"/>
  <c r="D265" i="47"/>
  <c r="F268" i="47"/>
  <c r="F269" i="47"/>
  <c r="F270" i="47"/>
  <c r="D271" i="47"/>
  <c r="D272" i="47"/>
  <c r="K15" i="47"/>
  <c r="C10" i="45"/>
  <c r="F271" i="47"/>
  <c r="F272" i="47"/>
  <c r="F275" i="47"/>
  <c r="M60" i="47"/>
  <c r="D277" i="47"/>
  <c r="E277" i="47"/>
  <c r="F280" i="47"/>
  <c r="M78" i="47"/>
  <c r="F282" i="47"/>
  <c r="F287" i="47"/>
  <c r="M63" i="47"/>
  <c r="F288" i="47"/>
  <c r="N63" i="47"/>
  <c r="D289" i="47"/>
  <c r="E289" i="47"/>
  <c r="F293" i="47"/>
  <c r="N62" i="47"/>
  <c r="D294" i="47"/>
  <c r="E294" i="47"/>
  <c r="F297" i="47"/>
  <c r="F298" i="47"/>
  <c r="F299" i="47"/>
  <c r="D300" i="47"/>
  <c r="E300" i="47"/>
  <c r="F303" i="47"/>
  <c r="F305" i="47"/>
  <c r="F304" i="47"/>
  <c r="D305" i="47"/>
  <c r="E305" i="47"/>
  <c r="F308" i="47"/>
  <c r="F309" i="47"/>
  <c r="D310" i="47"/>
  <c r="E310" i="47"/>
  <c r="F314" i="47"/>
  <c r="F315" i="47"/>
  <c r="F316" i="47" s="1"/>
  <c r="E316" i="47" s="1"/>
  <c r="L31" i="47" s="1"/>
  <c r="E11" i="45" s="1"/>
  <c r="D316" i="47"/>
  <c r="K31" i="47"/>
  <c r="C11" i="45"/>
  <c r="D321" i="47"/>
  <c r="E321" i="47"/>
  <c r="F324" i="47"/>
  <c r="F325" i="47"/>
  <c r="D326" i="47"/>
  <c r="E326" i="47"/>
  <c r="D331" i="47"/>
  <c r="F334" i="47"/>
  <c r="F335" i="47"/>
  <c r="D336" i="47"/>
  <c r="K27" i="47"/>
  <c r="C12" i="45"/>
  <c r="F339" i="47"/>
  <c r="F340" i="47"/>
  <c r="F341" i="47"/>
  <c r="F342" i="47"/>
  <c r="D342" i="47"/>
  <c r="K13" i="47"/>
  <c r="C18" i="45"/>
  <c r="F345" i="47"/>
  <c r="F346" i="47"/>
  <c r="F347" i="47"/>
  <c r="F348" i="47"/>
  <c r="D349" i="47"/>
  <c r="K25" i="47"/>
  <c r="C15" i="45"/>
  <c r="F352" i="47"/>
  <c r="F354" i="47"/>
  <c r="D354" i="47"/>
  <c r="F357" i="47"/>
  <c r="F358" i="47"/>
  <c r="D359" i="47"/>
  <c r="K4" i="47"/>
  <c r="C14" i="45"/>
  <c r="F362" i="47"/>
  <c r="F364" i="47" s="1"/>
  <c r="D364" i="47"/>
  <c r="F372" i="47"/>
  <c r="F374" i="47"/>
  <c r="D374" i="47"/>
  <c r="K23" i="47"/>
  <c r="C16" i="45"/>
  <c r="E2" i="46"/>
  <c r="G2" i="46"/>
  <c r="E3" i="46"/>
  <c r="G3" i="46"/>
  <c r="H3" i="46"/>
  <c r="I3" i="46"/>
  <c r="K3" i="46"/>
  <c r="L3" i="46"/>
  <c r="E4" i="46"/>
  <c r="G4" i="46"/>
  <c r="K4" i="46"/>
  <c r="L4" i="46"/>
  <c r="E5" i="46"/>
  <c r="G5" i="46"/>
  <c r="K5" i="46"/>
  <c r="L5" i="46"/>
  <c r="E6" i="46"/>
  <c r="G6" i="46"/>
  <c r="I6" i="46"/>
  <c r="K6" i="46"/>
  <c r="L6" i="46"/>
  <c r="E7" i="46"/>
  <c r="G7" i="46"/>
  <c r="K7" i="46"/>
  <c r="L7" i="46"/>
  <c r="E8" i="46"/>
  <c r="G8" i="46"/>
  <c r="H8" i="46"/>
  <c r="K8" i="46"/>
  <c r="L8" i="46"/>
  <c r="E9" i="46"/>
  <c r="G9" i="46"/>
  <c r="I9" i="46"/>
  <c r="K9" i="46"/>
  <c r="L9" i="46"/>
  <c r="E10" i="46"/>
  <c r="G10" i="46"/>
  <c r="K10" i="46"/>
  <c r="L10" i="46"/>
  <c r="E11" i="46"/>
  <c r="G11" i="46"/>
  <c r="I11" i="46"/>
  <c r="K11" i="46"/>
  <c r="L11" i="46"/>
  <c r="E12" i="46"/>
  <c r="G12" i="46"/>
  <c r="K12" i="46"/>
  <c r="L12" i="46"/>
  <c r="E13" i="46"/>
  <c r="G13" i="46"/>
  <c r="I13" i="46"/>
  <c r="K13" i="46"/>
  <c r="L13" i="46"/>
  <c r="E14" i="46"/>
  <c r="G14" i="46"/>
  <c r="K14" i="46"/>
  <c r="L14" i="46"/>
  <c r="E15" i="46"/>
  <c r="G15" i="46"/>
  <c r="K15" i="46"/>
  <c r="L15" i="46"/>
  <c r="E16" i="46"/>
  <c r="G16" i="46"/>
  <c r="K16" i="46"/>
  <c r="L16" i="46"/>
  <c r="E17" i="46"/>
  <c r="G17" i="46"/>
  <c r="K17" i="46"/>
  <c r="L17" i="46"/>
  <c r="E18" i="46"/>
  <c r="G18" i="46"/>
  <c r="H18" i="46"/>
  <c r="K18" i="46"/>
  <c r="L18" i="46"/>
  <c r="E19" i="46"/>
  <c r="G19" i="46"/>
  <c r="K19" i="46"/>
  <c r="L19" i="46"/>
  <c r="E20" i="46"/>
  <c r="G20" i="46"/>
  <c r="K20" i="46"/>
  <c r="L20" i="46"/>
  <c r="E21" i="46"/>
  <c r="G21" i="46"/>
  <c r="K21" i="46"/>
  <c r="L21" i="46"/>
  <c r="E22" i="46"/>
  <c r="G22" i="46"/>
  <c r="K22" i="46"/>
  <c r="L22" i="46"/>
  <c r="E23" i="46"/>
  <c r="G23" i="46"/>
  <c r="K23" i="46"/>
  <c r="L23" i="46"/>
  <c r="E24" i="46"/>
  <c r="G24" i="46"/>
  <c r="H24" i="46"/>
  <c r="K24" i="46"/>
  <c r="L24" i="46"/>
  <c r="E25" i="46"/>
  <c r="G25" i="46"/>
  <c r="K25" i="46"/>
  <c r="L25" i="46"/>
  <c r="E26" i="46"/>
  <c r="G26" i="46"/>
  <c r="H26" i="46"/>
  <c r="K26" i="46"/>
  <c r="L26" i="46"/>
  <c r="E27" i="46"/>
  <c r="G27" i="46"/>
  <c r="K27" i="46"/>
  <c r="L27" i="46"/>
  <c r="E28" i="46"/>
  <c r="G28" i="46"/>
  <c r="K28" i="46"/>
  <c r="L28" i="46"/>
  <c r="E29" i="46"/>
  <c r="G29" i="46"/>
  <c r="K29" i="46"/>
  <c r="L29" i="46"/>
  <c r="E30" i="46"/>
  <c r="G30" i="46"/>
  <c r="K30" i="46"/>
  <c r="L30" i="46"/>
  <c r="E31" i="46"/>
  <c r="G31" i="46"/>
  <c r="H31" i="46"/>
  <c r="K31" i="46"/>
  <c r="L31" i="46"/>
  <c r="E32" i="46"/>
  <c r="G32" i="46"/>
  <c r="K32" i="46"/>
  <c r="L32" i="46"/>
  <c r="E33" i="46"/>
  <c r="G33" i="46"/>
  <c r="K33" i="46"/>
  <c r="L33" i="46"/>
  <c r="E34" i="46"/>
  <c r="G34" i="46"/>
  <c r="K34" i="46"/>
  <c r="L34" i="46"/>
  <c r="E35" i="46"/>
  <c r="G35" i="46"/>
  <c r="K35" i="46"/>
  <c r="L35" i="46"/>
  <c r="E36" i="46"/>
  <c r="G36" i="46"/>
  <c r="K36" i="46"/>
  <c r="L36" i="46"/>
  <c r="E37" i="46"/>
  <c r="G37" i="46"/>
  <c r="K37" i="46"/>
  <c r="L37" i="46"/>
  <c r="E38" i="46"/>
  <c r="G38" i="46"/>
  <c r="K38" i="46"/>
  <c r="L38" i="46"/>
  <c r="E39" i="46"/>
  <c r="G39" i="46"/>
  <c r="K39" i="46"/>
  <c r="L39" i="46"/>
  <c r="E40" i="46"/>
  <c r="G40" i="46"/>
  <c r="K40" i="46"/>
  <c r="L40" i="46"/>
  <c r="E41" i="46"/>
  <c r="G41" i="46"/>
  <c r="K41" i="46"/>
  <c r="L41" i="46"/>
  <c r="E42" i="46"/>
  <c r="G42" i="46"/>
  <c r="K42" i="46"/>
  <c r="L42" i="46"/>
  <c r="E43" i="46"/>
  <c r="G43" i="46"/>
  <c r="K43" i="46"/>
  <c r="L43" i="46"/>
  <c r="E44" i="46"/>
  <c r="G44" i="46"/>
  <c r="K44" i="46"/>
  <c r="L44" i="46"/>
  <c r="E45" i="46"/>
  <c r="G45" i="46"/>
  <c r="K45" i="46"/>
  <c r="L45" i="46"/>
  <c r="E46" i="46"/>
  <c r="G46" i="46"/>
  <c r="K46" i="46"/>
  <c r="L46" i="46"/>
  <c r="E47" i="46"/>
  <c r="G47" i="46"/>
  <c r="H47" i="46"/>
  <c r="K47" i="46"/>
  <c r="L47" i="46"/>
  <c r="E48" i="46"/>
  <c r="G48" i="46"/>
  <c r="K48" i="46"/>
  <c r="L48" i="46"/>
  <c r="E49" i="46"/>
  <c r="G49" i="46"/>
  <c r="K49" i="46"/>
  <c r="L49" i="46"/>
  <c r="E50" i="46"/>
  <c r="G50" i="46"/>
  <c r="H50" i="46"/>
  <c r="K50" i="46"/>
  <c r="L50" i="46"/>
  <c r="E51" i="46"/>
  <c r="G51" i="46"/>
  <c r="K51" i="46"/>
  <c r="L51" i="46"/>
  <c r="E52" i="46"/>
  <c r="G52" i="46"/>
  <c r="K52" i="46"/>
  <c r="L52" i="46"/>
  <c r="E53" i="46"/>
  <c r="G53" i="46"/>
  <c r="K53" i="46"/>
  <c r="L53" i="46"/>
  <c r="E54" i="46"/>
  <c r="G54" i="46"/>
  <c r="K54" i="46"/>
  <c r="L54" i="46"/>
  <c r="E55" i="46"/>
  <c r="G55" i="46"/>
  <c r="H55" i="46"/>
  <c r="K55" i="46"/>
  <c r="L55" i="46"/>
  <c r="E56" i="46"/>
  <c r="G56" i="46"/>
  <c r="H56" i="46"/>
  <c r="K56" i="46"/>
  <c r="L56" i="46"/>
  <c r="E57" i="46"/>
  <c r="G57" i="46"/>
  <c r="K57" i="46"/>
  <c r="L57" i="46"/>
  <c r="E58" i="46"/>
  <c r="G58" i="46"/>
  <c r="H58" i="46"/>
  <c r="K58" i="46"/>
  <c r="L58" i="46"/>
  <c r="E59" i="46"/>
  <c r="G59" i="46"/>
  <c r="H59" i="46"/>
  <c r="K59" i="46"/>
  <c r="L59" i="46"/>
  <c r="E60" i="46"/>
  <c r="G60" i="46"/>
  <c r="H60" i="46"/>
  <c r="K60" i="46"/>
  <c r="L60" i="46"/>
  <c r="E61" i="46"/>
  <c r="G61" i="46"/>
  <c r="K61" i="46"/>
  <c r="L61" i="46"/>
  <c r="E62" i="46"/>
  <c r="G62" i="46"/>
  <c r="H62" i="46"/>
  <c r="K62" i="46"/>
  <c r="L62" i="46"/>
  <c r="E63" i="46"/>
  <c r="G63" i="46"/>
  <c r="H63" i="46"/>
  <c r="K63" i="46"/>
  <c r="L63" i="46"/>
  <c r="E64" i="46"/>
  <c r="G64" i="46"/>
  <c r="K64" i="46"/>
  <c r="L64" i="46"/>
  <c r="E65" i="46"/>
  <c r="G65" i="46"/>
  <c r="K65" i="46"/>
  <c r="L65" i="46"/>
  <c r="E66" i="46"/>
  <c r="G66" i="46"/>
  <c r="K66" i="46"/>
  <c r="L66" i="46"/>
  <c r="E67" i="46"/>
  <c r="G67" i="46"/>
  <c r="H67" i="46"/>
  <c r="K67" i="46"/>
  <c r="L67" i="46"/>
  <c r="E68" i="46"/>
  <c r="G68" i="46"/>
  <c r="H68" i="46"/>
  <c r="K68" i="46"/>
  <c r="L68" i="46"/>
  <c r="E69" i="46"/>
  <c r="G69" i="46"/>
  <c r="H69" i="46"/>
  <c r="K69" i="46"/>
  <c r="L69" i="46"/>
  <c r="E70" i="46"/>
  <c r="G70" i="46"/>
  <c r="H70" i="46"/>
  <c r="K70" i="46"/>
  <c r="L70" i="46"/>
  <c r="E71" i="46"/>
  <c r="G71" i="46"/>
  <c r="H71" i="46"/>
  <c r="K71" i="46"/>
  <c r="L71" i="46"/>
  <c r="E72" i="46"/>
  <c r="G72" i="46"/>
  <c r="H72" i="46"/>
  <c r="K72" i="46"/>
  <c r="L72" i="46"/>
  <c r="E73" i="46"/>
  <c r="G73" i="46"/>
  <c r="H73" i="46"/>
  <c r="K73" i="46"/>
  <c r="L73" i="46"/>
  <c r="E74" i="46"/>
  <c r="G74" i="46"/>
  <c r="H74" i="46"/>
  <c r="K74" i="46"/>
  <c r="L74" i="46"/>
  <c r="E75" i="46"/>
  <c r="G75" i="46"/>
  <c r="H75" i="46"/>
  <c r="K75" i="46"/>
  <c r="L75" i="46"/>
  <c r="E76" i="46"/>
  <c r="G76" i="46"/>
  <c r="H76" i="46"/>
  <c r="K76" i="46"/>
  <c r="L76" i="46"/>
  <c r="E77" i="46"/>
  <c r="G77" i="46"/>
  <c r="H77" i="46"/>
  <c r="K77" i="46"/>
  <c r="L77" i="46"/>
  <c r="E78" i="46"/>
  <c r="G78" i="46"/>
  <c r="H78" i="46"/>
  <c r="K78" i="46"/>
  <c r="L78" i="46"/>
  <c r="E79" i="46"/>
  <c r="G79" i="46"/>
  <c r="H79" i="46"/>
  <c r="K79" i="46"/>
  <c r="L79" i="46"/>
  <c r="E80" i="46"/>
  <c r="G80" i="46"/>
  <c r="H80" i="46"/>
  <c r="K80" i="46"/>
  <c r="L80" i="46"/>
  <c r="E81" i="46"/>
  <c r="G81" i="46"/>
  <c r="H81" i="46"/>
  <c r="K81" i="46"/>
  <c r="L81" i="46"/>
  <c r="E82" i="46"/>
  <c r="G82" i="46"/>
  <c r="H82" i="46"/>
  <c r="K82" i="46"/>
  <c r="L82" i="46"/>
  <c r="E83" i="46"/>
  <c r="G83" i="46"/>
  <c r="H83" i="46"/>
  <c r="K83" i="46"/>
  <c r="L83" i="46"/>
  <c r="E84" i="46"/>
  <c r="G84" i="46"/>
  <c r="H84" i="46"/>
  <c r="K84" i="46"/>
  <c r="L84" i="46"/>
  <c r="E85" i="46"/>
  <c r="G85" i="46"/>
  <c r="H85" i="46"/>
  <c r="K85" i="46"/>
  <c r="L85" i="46"/>
  <c r="E86" i="46"/>
  <c r="G86" i="46"/>
  <c r="H86" i="46"/>
  <c r="K86" i="46"/>
  <c r="L86" i="46"/>
  <c r="E87" i="46"/>
  <c r="G87" i="46"/>
  <c r="H87" i="46"/>
  <c r="K87" i="46"/>
  <c r="L87" i="46"/>
  <c r="E88" i="46"/>
  <c r="G88" i="46"/>
  <c r="H88" i="46"/>
  <c r="K88" i="46"/>
  <c r="L88" i="46"/>
  <c r="E89" i="46"/>
  <c r="G89" i="46"/>
  <c r="K89" i="46"/>
  <c r="L89" i="46"/>
  <c r="E90" i="46"/>
  <c r="G90" i="46"/>
  <c r="H90" i="46"/>
  <c r="K90" i="46"/>
  <c r="L90" i="46"/>
  <c r="E91" i="46"/>
  <c r="G91" i="46"/>
  <c r="H91" i="46"/>
  <c r="K91" i="46"/>
  <c r="L91" i="46"/>
  <c r="E92" i="46"/>
  <c r="G92" i="46"/>
  <c r="H92" i="46"/>
  <c r="K92" i="46"/>
  <c r="L92" i="46"/>
  <c r="E93" i="46"/>
  <c r="G93" i="46"/>
  <c r="H93" i="46"/>
  <c r="K93" i="46"/>
  <c r="L93" i="46"/>
  <c r="E94" i="46"/>
  <c r="G94" i="46"/>
  <c r="H94" i="46"/>
  <c r="K94" i="46"/>
  <c r="L94" i="46"/>
  <c r="E95" i="46"/>
  <c r="G95" i="46"/>
  <c r="H95" i="46"/>
  <c r="K95" i="46"/>
  <c r="L95" i="46"/>
  <c r="E96" i="46"/>
  <c r="G96" i="46"/>
  <c r="H96" i="46"/>
  <c r="K96" i="46"/>
  <c r="L96" i="46"/>
  <c r="E97" i="46"/>
  <c r="G97" i="46"/>
  <c r="H97" i="46"/>
  <c r="K97" i="46"/>
  <c r="L97" i="46"/>
  <c r="E98" i="46"/>
  <c r="G98" i="46"/>
  <c r="H98" i="46"/>
  <c r="K98" i="46"/>
  <c r="L98" i="46"/>
  <c r="E99" i="46"/>
  <c r="G99" i="46"/>
  <c r="H99" i="46"/>
  <c r="K99" i="46"/>
  <c r="L99" i="46"/>
  <c r="E100" i="46"/>
  <c r="G100" i="46"/>
  <c r="H100" i="46"/>
  <c r="K100" i="46"/>
  <c r="L100" i="46"/>
  <c r="E101" i="46"/>
  <c r="G101" i="46"/>
  <c r="H101" i="46"/>
  <c r="K101" i="46"/>
  <c r="L101" i="46"/>
  <c r="E102" i="46"/>
  <c r="G102" i="46"/>
  <c r="K102" i="46"/>
  <c r="L102" i="46"/>
  <c r="E103" i="46"/>
  <c r="G103" i="46"/>
  <c r="K103" i="46"/>
  <c r="L103" i="46"/>
  <c r="E104" i="46"/>
  <c r="G104" i="46"/>
  <c r="H104" i="46"/>
  <c r="K104" i="46"/>
  <c r="L104" i="46"/>
  <c r="E105" i="46"/>
  <c r="G105" i="46"/>
  <c r="K105" i="46"/>
  <c r="L105" i="46"/>
  <c r="E106" i="46"/>
  <c r="G106" i="46"/>
  <c r="H106" i="46"/>
  <c r="K106" i="46"/>
  <c r="L106" i="46"/>
  <c r="E107" i="46"/>
  <c r="G107" i="46"/>
  <c r="H107" i="46"/>
  <c r="K107" i="46"/>
  <c r="L107" i="46"/>
  <c r="E108" i="46"/>
  <c r="G108" i="46"/>
  <c r="K108" i="46"/>
  <c r="L108" i="46"/>
  <c r="E109" i="46"/>
  <c r="G109" i="46"/>
  <c r="H109" i="46"/>
  <c r="K109" i="46"/>
  <c r="L109" i="46"/>
  <c r="E110" i="46"/>
  <c r="G110" i="46"/>
  <c r="K110" i="46"/>
  <c r="L110" i="46"/>
  <c r="E111" i="46"/>
  <c r="G111" i="46"/>
  <c r="K111" i="46"/>
  <c r="L111" i="46"/>
  <c r="E112" i="46"/>
  <c r="G112" i="46"/>
  <c r="H112" i="46"/>
  <c r="K112" i="46"/>
  <c r="L112" i="46"/>
  <c r="E113" i="46"/>
  <c r="G113" i="46"/>
  <c r="H113" i="46"/>
  <c r="K113" i="46"/>
  <c r="L113" i="46"/>
  <c r="E114" i="46"/>
  <c r="G114" i="46"/>
  <c r="K114" i="46"/>
  <c r="L114" i="46"/>
  <c r="E115" i="46"/>
  <c r="G115" i="46"/>
  <c r="H115" i="46"/>
  <c r="K115" i="46"/>
  <c r="L115" i="46"/>
  <c r="E116" i="46"/>
  <c r="G116" i="46"/>
  <c r="H116" i="46"/>
  <c r="K116" i="46"/>
  <c r="L116" i="46"/>
  <c r="E117" i="46"/>
  <c r="G117" i="46"/>
  <c r="H117" i="46"/>
  <c r="K117" i="46"/>
  <c r="L117" i="46"/>
  <c r="E118" i="46"/>
  <c r="G118" i="46"/>
  <c r="H118" i="46"/>
  <c r="K118" i="46"/>
  <c r="L118" i="46"/>
  <c r="E119" i="46"/>
  <c r="G119" i="46"/>
  <c r="H119" i="46"/>
  <c r="K119" i="46"/>
  <c r="L119" i="46"/>
  <c r="E120" i="46"/>
  <c r="G120" i="46"/>
  <c r="H120" i="46"/>
  <c r="K120" i="46"/>
  <c r="L120" i="46"/>
  <c r="E121" i="46"/>
  <c r="K121" i="46"/>
  <c r="L121" i="46"/>
  <c r="E122" i="46"/>
  <c r="G122" i="46"/>
  <c r="K122" i="46"/>
  <c r="L122" i="46"/>
  <c r="E123" i="46"/>
  <c r="G123" i="46"/>
  <c r="K123" i="46"/>
  <c r="L123" i="46"/>
  <c r="E124" i="46"/>
  <c r="G124" i="46"/>
  <c r="H124" i="46"/>
  <c r="K124" i="46"/>
  <c r="L124" i="46"/>
  <c r="E125" i="46"/>
  <c r="G125" i="46"/>
  <c r="H125" i="46"/>
  <c r="K125" i="46"/>
  <c r="L125" i="46"/>
  <c r="E126" i="46"/>
  <c r="G126" i="46"/>
  <c r="H126" i="46"/>
  <c r="K126" i="46"/>
  <c r="L126" i="46"/>
  <c r="E127" i="46"/>
  <c r="G127" i="46"/>
  <c r="H127" i="46"/>
  <c r="K127" i="46"/>
  <c r="L127" i="46"/>
  <c r="E128" i="46"/>
  <c r="G128" i="46"/>
  <c r="K128" i="46"/>
  <c r="L128" i="46"/>
  <c r="E129" i="46"/>
  <c r="G129" i="46"/>
  <c r="K129" i="46"/>
  <c r="L129" i="46"/>
  <c r="E130" i="46"/>
  <c r="G130" i="46"/>
  <c r="H130" i="46"/>
  <c r="K130" i="46"/>
  <c r="L130" i="46"/>
  <c r="E131" i="46"/>
  <c r="G131" i="46"/>
  <c r="H131" i="46"/>
  <c r="K131" i="46"/>
  <c r="L131" i="46"/>
  <c r="E132" i="46"/>
  <c r="K132" i="46"/>
  <c r="L132" i="46"/>
  <c r="E133" i="46"/>
  <c r="G133" i="46"/>
  <c r="K133" i="46"/>
  <c r="L133" i="46"/>
  <c r="E134" i="46"/>
  <c r="G134" i="46"/>
  <c r="H134" i="46"/>
  <c r="K134" i="46"/>
  <c r="L134" i="46"/>
  <c r="E135" i="46"/>
  <c r="G135" i="46"/>
  <c r="H135" i="46"/>
  <c r="K135" i="46"/>
  <c r="L135" i="46"/>
  <c r="E136" i="46"/>
  <c r="G136" i="46"/>
  <c r="H136" i="46"/>
  <c r="K136" i="46"/>
  <c r="L136" i="46"/>
  <c r="E137" i="46"/>
  <c r="G137" i="46"/>
  <c r="H137" i="46"/>
  <c r="K137" i="46"/>
  <c r="L137" i="46"/>
  <c r="E138" i="46"/>
  <c r="G138" i="46"/>
  <c r="H138" i="46"/>
  <c r="K138" i="46"/>
  <c r="L138" i="46"/>
  <c r="E139" i="46"/>
  <c r="G139" i="46"/>
  <c r="H139" i="46"/>
  <c r="K139" i="46"/>
  <c r="L139" i="46"/>
  <c r="E140" i="46"/>
  <c r="G140" i="46"/>
  <c r="H140" i="46"/>
  <c r="K140" i="46"/>
  <c r="L140" i="46"/>
  <c r="E141" i="46"/>
  <c r="G141" i="46"/>
  <c r="H141" i="46"/>
  <c r="K141" i="46"/>
  <c r="L141" i="46"/>
  <c r="E142" i="46"/>
  <c r="G142" i="46"/>
  <c r="H142" i="46"/>
  <c r="K142" i="46"/>
  <c r="L142" i="46"/>
  <c r="E143" i="46"/>
  <c r="G143" i="46"/>
  <c r="H143" i="46"/>
  <c r="K143" i="46"/>
  <c r="L143" i="46"/>
  <c r="E144" i="46"/>
  <c r="G144" i="46"/>
  <c r="K144" i="46"/>
  <c r="L144" i="46"/>
  <c r="E145" i="46"/>
  <c r="G145" i="46"/>
  <c r="K145" i="46"/>
  <c r="L145" i="46"/>
  <c r="E146" i="46"/>
  <c r="G146" i="46"/>
  <c r="H146" i="46"/>
  <c r="K146" i="46"/>
  <c r="L146" i="46"/>
  <c r="E147" i="46"/>
  <c r="G147" i="46"/>
  <c r="H147" i="46"/>
  <c r="K147" i="46"/>
  <c r="L147" i="46"/>
  <c r="E148" i="46"/>
  <c r="G148" i="46"/>
  <c r="K148" i="46"/>
  <c r="L148" i="46"/>
  <c r="E149" i="46"/>
  <c r="G149" i="46"/>
  <c r="K149" i="46"/>
  <c r="L149" i="46"/>
  <c r="E150" i="46"/>
  <c r="G150" i="46"/>
  <c r="K150" i="46"/>
  <c r="L150" i="46"/>
  <c r="E151" i="46"/>
  <c r="G151" i="46"/>
  <c r="K151" i="46"/>
  <c r="L151" i="46"/>
  <c r="E152" i="46"/>
  <c r="G152" i="46"/>
  <c r="H152" i="46"/>
  <c r="K152" i="46"/>
  <c r="L152" i="46"/>
  <c r="E153" i="46"/>
  <c r="G153" i="46"/>
  <c r="K153" i="46"/>
  <c r="L153" i="46"/>
  <c r="E154" i="46"/>
  <c r="G154" i="46"/>
  <c r="H154" i="46"/>
  <c r="K154" i="46"/>
  <c r="L154" i="46"/>
  <c r="E155" i="46"/>
  <c r="G155" i="46"/>
  <c r="H155" i="46"/>
  <c r="K155" i="46"/>
  <c r="L155" i="46"/>
  <c r="E156" i="46"/>
  <c r="G156" i="46"/>
  <c r="H156" i="46"/>
  <c r="K156" i="46"/>
  <c r="L156" i="46"/>
  <c r="E157" i="46"/>
  <c r="G157" i="46"/>
  <c r="H157" i="46"/>
  <c r="K157" i="46"/>
  <c r="L157" i="46"/>
  <c r="E158" i="46"/>
  <c r="K158" i="46"/>
  <c r="L158" i="46"/>
  <c r="E159" i="46"/>
  <c r="G159" i="46"/>
  <c r="K159" i="46"/>
  <c r="L159" i="46"/>
  <c r="E160" i="46"/>
  <c r="G160" i="46"/>
  <c r="H160" i="46"/>
  <c r="K160" i="46"/>
  <c r="L160" i="46"/>
  <c r="E161" i="46"/>
  <c r="K161" i="46"/>
  <c r="L161" i="46"/>
  <c r="E162" i="46"/>
  <c r="G162" i="46"/>
  <c r="K162" i="46"/>
  <c r="L162" i="46"/>
  <c r="E163" i="46"/>
  <c r="G163" i="46"/>
  <c r="K163" i="46"/>
  <c r="L163" i="46"/>
  <c r="E164" i="46"/>
  <c r="G164" i="46"/>
  <c r="H164" i="46"/>
  <c r="K164" i="46"/>
  <c r="L164" i="46"/>
  <c r="E165" i="46"/>
  <c r="G165" i="46"/>
  <c r="H165" i="46"/>
  <c r="K165" i="46"/>
  <c r="L165" i="46"/>
  <c r="E166" i="46"/>
  <c r="G166" i="46"/>
  <c r="H166" i="46"/>
  <c r="K166" i="46"/>
  <c r="L166" i="46"/>
  <c r="E167" i="46"/>
  <c r="G167" i="46"/>
  <c r="K167" i="46"/>
  <c r="L167" i="46"/>
  <c r="E168" i="46"/>
  <c r="G168" i="46"/>
  <c r="H168" i="46"/>
  <c r="K168" i="46"/>
  <c r="L168" i="46"/>
  <c r="E169" i="46"/>
  <c r="G169" i="46"/>
  <c r="H169" i="46"/>
  <c r="K169" i="46"/>
  <c r="L169" i="46"/>
  <c r="E170" i="46"/>
  <c r="G170" i="46"/>
  <c r="K170" i="46"/>
  <c r="L170" i="46"/>
  <c r="E171" i="46"/>
  <c r="G171" i="46"/>
  <c r="K171" i="46"/>
  <c r="L171" i="46"/>
  <c r="E172" i="46"/>
  <c r="K172" i="46"/>
  <c r="L172" i="46"/>
  <c r="E173" i="46"/>
  <c r="G173" i="46"/>
  <c r="K173" i="46"/>
  <c r="L173" i="46"/>
  <c r="E174" i="46"/>
  <c r="G174" i="46"/>
  <c r="K174" i="46"/>
  <c r="L174" i="46"/>
  <c r="E175" i="46"/>
  <c r="G175" i="46"/>
  <c r="K175" i="46"/>
  <c r="L175" i="46"/>
  <c r="E176" i="46"/>
  <c r="K176" i="46"/>
  <c r="L176" i="46"/>
  <c r="E177" i="46"/>
  <c r="G177" i="46"/>
  <c r="K177" i="46"/>
  <c r="L177" i="46"/>
  <c r="E178" i="46"/>
  <c r="G178" i="46"/>
  <c r="H179" i="46"/>
  <c r="K178" i="46"/>
  <c r="L178" i="46"/>
  <c r="E179" i="46"/>
  <c r="G179" i="46"/>
  <c r="K179" i="46"/>
  <c r="L179" i="46"/>
  <c r="E180" i="46"/>
  <c r="G180" i="46"/>
  <c r="H180" i="46"/>
  <c r="K180" i="46"/>
  <c r="L180" i="46"/>
  <c r="E181" i="46"/>
  <c r="G181" i="46"/>
  <c r="H181" i="46"/>
  <c r="K181" i="46"/>
  <c r="L181" i="46"/>
  <c r="E182" i="46"/>
  <c r="G182" i="46"/>
  <c r="K182" i="46"/>
  <c r="L182" i="46"/>
  <c r="E183" i="46"/>
  <c r="G183" i="46"/>
  <c r="K183" i="46"/>
  <c r="L183" i="46"/>
  <c r="E184" i="46"/>
  <c r="G184" i="46"/>
  <c r="K184" i="46"/>
  <c r="L184" i="46"/>
  <c r="E186" i="46"/>
  <c r="G186" i="46"/>
  <c r="K186" i="46"/>
  <c r="L186" i="46"/>
  <c r="E187" i="46"/>
  <c r="G187" i="46"/>
  <c r="H187" i="46"/>
  <c r="K187" i="46"/>
  <c r="L187" i="46"/>
  <c r="E188" i="46"/>
  <c r="G188" i="46"/>
  <c r="K188" i="46"/>
  <c r="L188" i="46"/>
  <c r="E189" i="46"/>
  <c r="G189" i="46"/>
  <c r="K189" i="46"/>
  <c r="L189" i="46"/>
  <c r="E190" i="46"/>
  <c r="G190" i="46"/>
  <c r="K190" i="46"/>
  <c r="L190" i="46"/>
  <c r="E191" i="46"/>
  <c r="K191" i="46"/>
  <c r="L191" i="46"/>
  <c r="E192" i="46"/>
  <c r="G192" i="46"/>
  <c r="I192" i="46"/>
  <c r="K192" i="46"/>
  <c r="L192" i="46"/>
  <c r="E193" i="46"/>
  <c r="G193" i="46"/>
  <c r="K193" i="46"/>
  <c r="L193" i="46"/>
  <c r="E194" i="46"/>
  <c r="G194" i="46"/>
  <c r="I194" i="46"/>
  <c r="K194" i="46"/>
  <c r="L194" i="46"/>
  <c r="E195" i="46"/>
  <c r="G195" i="46"/>
  <c r="K195" i="46"/>
  <c r="L195" i="46"/>
  <c r="E196" i="46"/>
  <c r="G196" i="46"/>
  <c r="I196" i="46"/>
  <c r="K196" i="46"/>
  <c r="L196" i="46"/>
  <c r="E197" i="46"/>
  <c r="G197" i="46"/>
  <c r="I197" i="46"/>
  <c r="K197" i="46"/>
  <c r="L197" i="46"/>
  <c r="E198" i="46"/>
  <c r="G198" i="46"/>
  <c r="I198" i="46"/>
  <c r="K198" i="46"/>
  <c r="L198" i="46"/>
  <c r="E199" i="46"/>
  <c r="G199" i="46"/>
  <c r="I199" i="46"/>
  <c r="K199" i="46"/>
  <c r="L199" i="46"/>
  <c r="E200" i="46"/>
  <c r="K200" i="46"/>
  <c r="L200" i="46"/>
  <c r="E201" i="46"/>
  <c r="G201" i="46"/>
  <c r="K201" i="46"/>
  <c r="L201" i="46"/>
  <c r="E202" i="46"/>
  <c r="G202" i="46"/>
  <c r="I202" i="46"/>
  <c r="K202" i="46"/>
  <c r="L202" i="46"/>
  <c r="E203" i="46"/>
  <c r="G203" i="46"/>
  <c r="I203" i="46"/>
  <c r="K203" i="46"/>
  <c r="L203" i="46"/>
  <c r="E204" i="46"/>
  <c r="G204" i="46"/>
  <c r="I204" i="46"/>
  <c r="K204" i="46"/>
  <c r="L204" i="46"/>
  <c r="E205" i="46"/>
  <c r="K205" i="46"/>
  <c r="L205" i="46"/>
  <c r="E206" i="46"/>
  <c r="G206" i="46"/>
  <c r="K206" i="46"/>
  <c r="L206" i="46"/>
  <c r="E207" i="46"/>
  <c r="G207" i="46"/>
  <c r="I207" i="46"/>
  <c r="K207" i="46"/>
  <c r="L207" i="46"/>
  <c r="E208" i="46"/>
  <c r="G208" i="46"/>
  <c r="I208" i="46"/>
  <c r="K208" i="46"/>
  <c r="L208" i="46"/>
  <c r="E209" i="46"/>
  <c r="G209" i="46"/>
  <c r="I209" i="46"/>
  <c r="K209" i="46"/>
  <c r="L209" i="46"/>
  <c r="E210" i="46"/>
  <c r="G210" i="46"/>
  <c r="K210" i="46"/>
  <c r="L210" i="46"/>
  <c r="E211" i="46"/>
  <c r="G211" i="46"/>
  <c r="K211" i="46"/>
  <c r="L211" i="46"/>
  <c r="E212" i="46"/>
  <c r="G212" i="46"/>
  <c r="K212" i="46"/>
  <c r="L212" i="46"/>
  <c r="E213" i="46"/>
  <c r="G213" i="46"/>
  <c r="K213" i="46"/>
  <c r="L213" i="46"/>
  <c r="E214" i="46"/>
  <c r="G214" i="46"/>
  <c r="K214" i="46"/>
  <c r="L214" i="46"/>
  <c r="E215" i="46"/>
  <c r="G215" i="46"/>
  <c r="K215" i="46"/>
  <c r="L215" i="46"/>
  <c r="E216" i="46"/>
  <c r="G216" i="46"/>
  <c r="K216" i="46"/>
  <c r="L216" i="46"/>
  <c r="E217" i="46"/>
  <c r="G217" i="46"/>
  <c r="K217" i="46"/>
  <c r="L217" i="46"/>
  <c r="E218" i="46"/>
  <c r="K218" i="46"/>
  <c r="L218" i="46"/>
  <c r="E219" i="46"/>
  <c r="G219" i="46"/>
  <c r="K219" i="46"/>
  <c r="L219" i="46"/>
  <c r="E220" i="46"/>
  <c r="G220" i="46"/>
  <c r="K220" i="46"/>
  <c r="L220" i="46"/>
  <c r="E221" i="46"/>
  <c r="G221" i="46"/>
  <c r="K221" i="46"/>
  <c r="L221" i="46"/>
  <c r="E222" i="46"/>
  <c r="G222" i="46"/>
  <c r="K222" i="46"/>
  <c r="L222" i="46"/>
  <c r="E223" i="46"/>
  <c r="G223" i="46"/>
  <c r="K223" i="46"/>
  <c r="L223" i="46"/>
  <c r="E224" i="46"/>
  <c r="G224" i="46"/>
  <c r="H224" i="46"/>
  <c r="K224" i="46"/>
  <c r="L224" i="46"/>
  <c r="E225" i="46"/>
  <c r="G225" i="46"/>
  <c r="K225" i="46"/>
  <c r="L225" i="46"/>
  <c r="E226" i="46"/>
  <c r="G226" i="46"/>
  <c r="K226" i="46"/>
  <c r="L226" i="46"/>
  <c r="E227" i="46"/>
  <c r="G227" i="46"/>
  <c r="K227" i="46"/>
  <c r="L227" i="46"/>
  <c r="E228" i="46"/>
  <c r="G228" i="46"/>
  <c r="K228" i="46"/>
  <c r="L228" i="46"/>
  <c r="E229" i="46"/>
  <c r="G229" i="46"/>
  <c r="K229" i="46"/>
  <c r="L229" i="46"/>
  <c r="E230" i="46"/>
  <c r="G230" i="46"/>
  <c r="K230" i="46"/>
  <c r="L230" i="46"/>
  <c r="E231" i="46"/>
  <c r="G231" i="46"/>
  <c r="K231" i="46"/>
  <c r="L231" i="46"/>
  <c r="E232" i="46"/>
  <c r="G232" i="46"/>
  <c r="H232" i="46"/>
  <c r="K232" i="46"/>
  <c r="L232" i="46"/>
  <c r="E233" i="46"/>
  <c r="G233" i="46"/>
  <c r="K233" i="46"/>
  <c r="L233" i="46"/>
  <c r="E234" i="46"/>
  <c r="G234" i="46"/>
  <c r="K234" i="46"/>
  <c r="L234" i="46"/>
  <c r="E235" i="46"/>
  <c r="G235" i="46"/>
  <c r="K235" i="46"/>
  <c r="L235" i="46"/>
  <c r="E236" i="46"/>
  <c r="G236" i="46"/>
  <c r="K236" i="46"/>
  <c r="L236" i="46"/>
  <c r="E237" i="46"/>
  <c r="G237" i="46"/>
  <c r="K237" i="46"/>
  <c r="L237" i="46"/>
  <c r="E238" i="46"/>
  <c r="K238" i="46"/>
  <c r="L238" i="46"/>
  <c r="E239" i="46"/>
  <c r="G239" i="46"/>
  <c r="K239" i="46"/>
  <c r="L239" i="46"/>
  <c r="E240" i="46"/>
  <c r="G240" i="46"/>
  <c r="K240" i="46"/>
  <c r="L240" i="46"/>
  <c r="E241" i="46"/>
  <c r="G241" i="46"/>
  <c r="K241" i="46"/>
  <c r="L241" i="46"/>
  <c r="E242" i="46"/>
  <c r="G242" i="46"/>
  <c r="K242" i="46"/>
  <c r="L242" i="46"/>
  <c r="E243" i="46"/>
  <c r="G243" i="46"/>
  <c r="K243" i="46"/>
  <c r="L243" i="46"/>
  <c r="E244" i="46"/>
  <c r="G244" i="46"/>
  <c r="H244" i="46"/>
  <c r="K244" i="46"/>
  <c r="L244" i="46"/>
  <c r="E245" i="46"/>
  <c r="G245" i="46"/>
  <c r="K245" i="46"/>
  <c r="L245" i="46"/>
  <c r="E246" i="46"/>
  <c r="G246" i="46"/>
  <c r="K246" i="46"/>
  <c r="L246" i="46"/>
  <c r="E247" i="46"/>
  <c r="G247" i="46"/>
  <c r="K247" i="46"/>
  <c r="L247" i="46"/>
  <c r="E248" i="46"/>
  <c r="G248" i="46"/>
  <c r="K248" i="46"/>
  <c r="L248" i="46"/>
  <c r="E249" i="46"/>
  <c r="G249" i="46"/>
  <c r="K249" i="46"/>
  <c r="L249" i="46"/>
  <c r="E250" i="46"/>
  <c r="K250" i="46"/>
  <c r="L250" i="46"/>
  <c r="E251" i="46"/>
  <c r="G251" i="46"/>
  <c r="K251" i="46"/>
  <c r="L251" i="46"/>
  <c r="E252" i="46"/>
  <c r="G252" i="46"/>
  <c r="K252" i="46"/>
  <c r="L252" i="46"/>
  <c r="E253" i="46"/>
  <c r="G253" i="46"/>
  <c r="K253" i="46"/>
  <c r="L253" i="46"/>
  <c r="E254" i="46"/>
  <c r="G254" i="46"/>
  <c r="K254" i="46"/>
  <c r="L254" i="46"/>
  <c r="E255" i="46"/>
  <c r="G255" i="46"/>
  <c r="K255" i="46"/>
  <c r="L255" i="46"/>
  <c r="E256" i="46"/>
  <c r="G256" i="46"/>
  <c r="H256" i="46"/>
  <c r="K256" i="46"/>
  <c r="L256" i="46"/>
  <c r="E257" i="46"/>
  <c r="G257" i="46"/>
  <c r="K257" i="46"/>
  <c r="L257" i="46"/>
  <c r="E258" i="46"/>
  <c r="G258" i="46"/>
  <c r="K258" i="46"/>
  <c r="L258" i="46"/>
  <c r="E259" i="46"/>
  <c r="G259" i="46"/>
  <c r="K259" i="46"/>
  <c r="L259" i="46"/>
  <c r="E260" i="46"/>
  <c r="G260" i="46"/>
  <c r="K260" i="46"/>
  <c r="L260" i="46"/>
  <c r="E261" i="46"/>
  <c r="G261" i="46"/>
  <c r="K261" i="46"/>
  <c r="L261" i="46"/>
  <c r="E262" i="46"/>
  <c r="G262" i="46"/>
  <c r="K262" i="46"/>
  <c r="L262" i="46"/>
  <c r="E263" i="46"/>
  <c r="G263" i="46"/>
  <c r="K263" i="46"/>
  <c r="L263" i="46"/>
  <c r="E264" i="46"/>
  <c r="G264" i="46"/>
  <c r="K264" i="46"/>
  <c r="L264" i="46"/>
  <c r="E265" i="46"/>
  <c r="G265" i="46"/>
  <c r="K265" i="46"/>
  <c r="L265" i="46"/>
  <c r="E266" i="46"/>
  <c r="G266" i="46"/>
  <c r="H266" i="46"/>
  <c r="K266" i="46"/>
  <c r="L266" i="46"/>
  <c r="E267" i="46"/>
  <c r="G267" i="46"/>
  <c r="K267" i="46"/>
  <c r="L267" i="46"/>
  <c r="E268" i="46"/>
  <c r="G268" i="46"/>
  <c r="K268" i="46"/>
  <c r="L268" i="46"/>
  <c r="E269" i="46"/>
  <c r="G269" i="46"/>
  <c r="K269" i="46"/>
  <c r="L269" i="46"/>
  <c r="E270" i="46"/>
  <c r="G270" i="46"/>
  <c r="K270" i="46"/>
  <c r="L270" i="46"/>
  <c r="E271" i="46"/>
  <c r="G271" i="46"/>
  <c r="K271" i="46"/>
  <c r="L271" i="46"/>
  <c r="E272" i="46"/>
  <c r="G272" i="46"/>
  <c r="H272" i="46"/>
  <c r="K272" i="46"/>
  <c r="L272" i="46"/>
  <c r="E273" i="46"/>
  <c r="G273" i="46"/>
  <c r="K273" i="46"/>
  <c r="L273" i="46"/>
  <c r="E274" i="46"/>
  <c r="G274" i="46"/>
  <c r="K274" i="46"/>
  <c r="L274" i="46"/>
  <c r="E275" i="46"/>
  <c r="G275" i="46"/>
  <c r="K275" i="46"/>
  <c r="L275" i="46"/>
  <c r="E276" i="46"/>
  <c r="G276" i="46"/>
  <c r="K276" i="46"/>
  <c r="L276" i="46"/>
  <c r="E277" i="46"/>
  <c r="G277" i="46"/>
  <c r="K277" i="46"/>
  <c r="L277" i="46"/>
  <c r="E278" i="46"/>
  <c r="K278" i="46"/>
  <c r="L278" i="46"/>
  <c r="E279" i="46"/>
  <c r="G279" i="46"/>
  <c r="K279" i="46"/>
  <c r="L279" i="46"/>
  <c r="E280" i="46"/>
  <c r="K280" i="46"/>
  <c r="L280" i="46"/>
  <c r="E281" i="46"/>
  <c r="G281" i="46"/>
  <c r="K281" i="46"/>
  <c r="L281" i="46"/>
  <c r="E282" i="46"/>
  <c r="K282" i="46"/>
  <c r="L282" i="46"/>
  <c r="E283" i="46"/>
  <c r="K283" i="46"/>
  <c r="L283" i="46"/>
  <c r="E284" i="46"/>
  <c r="G284" i="46"/>
  <c r="K284" i="46"/>
  <c r="L284" i="46"/>
  <c r="E285" i="46"/>
  <c r="G285" i="46"/>
  <c r="K285" i="46"/>
  <c r="L285" i="46"/>
  <c r="E286" i="46"/>
  <c r="G286" i="46"/>
  <c r="K286" i="46"/>
  <c r="L286" i="46"/>
  <c r="E287" i="46"/>
  <c r="G287" i="46"/>
  <c r="K287" i="46"/>
  <c r="L287" i="46"/>
  <c r="E288" i="46"/>
  <c r="G288" i="46"/>
  <c r="K288" i="46"/>
  <c r="L288" i="46"/>
  <c r="E289" i="46"/>
  <c r="G289" i="46"/>
  <c r="K289" i="46"/>
  <c r="L289" i="46"/>
  <c r="E290" i="46"/>
  <c r="G290" i="46"/>
  <c r="K290" i="46"/>
  <c r="L290" i="46"/>
  <c r="E291" i="46"/>
  <c r="G291" i="46"/>
  <c r="K291" i="46"/>
  <c r="L291" i="46"/>
  <c r="E292" i="46"/>
  <c r="G292" i="46"/>
  <c r="K292" i="46"/>
  <c r="L292" i="46"/>
  <c r="E293" i="46"/>
  <c r="G293" i="46"/>
  <c r="K293" i="46"/>
  <c r="L293" i="46"/>
  <c r="E294" i="46"/>
  <c r="G294" i="46"/>
  <c r="K294" i="46"/>
  <c r="L294" i="46"/>
  <c r="E295" i="46"/>
  <c r="G295" i="46"/>
  <c r="K295" i="46"/>
  <c r="L295" i="46"/>
  <c r="E296" i="46"/>
  <c r="G296" i="46"/>
  <c r="K296" i="46"/>
  <c r="L296" i="46"/>
  <c r="E297" i="46"/>
  <c r="G297" i="46"/>
  <c r="K297" i="46"/>
  <c r="L297" i="46"/>
  <c r="E298" i="46"/>
  <c r="G298" i="46"/>
  <c r="K298" i="46"/>
  <c r="L298" i="46"/>
  <c r="E299" i="46"/>
  <c r="G299" i="46"/>
  <c r="K299" i="46"/>
  <c r="L299" i="46"/>
  <c r="E300" i="46"/>
  <c r="G300" i="46"/>
  <c r="K300" i="46"/>
  <c r="L300" i="46"/>
  <c r="E301" i="46"/>
  <c r="G301" i="46"/>
  <c r="K301" i="46"/>
  <c r="L301" i="46"/>
  <c r="E302" i="46"/>
  <c r="G302" i="46"/>
  <c r="K302" i="46"/>
  <c r="L302" i="46"/>
  <c r="E303" i="46"/>
  <c r="G303" i="46"/>
  <c r="K303" i="46"/>
  <c r="L303" i="46"/>
  <c r="E304" i="46"/>
  <c r="G304" i="46"/>
  <c r="K304" i="46"/>
  <c r="L304" i="46"/>
  <c r="E305" i="46"/>
  <c r="G305" i="46"/>
  <c r="K305" i="46"/>
  <c r="L305" i="46"/>
  <c r="E306" i="46"/>
  <c r="G306" i="46"/>
  <c r="K306" i="46"/>
  <c r="L306" i="46"/>
  <c r="E307" i="46"/>
  <c r="G307" i="46"/>
  <c r="K307" i="46"/>
  <c r="L307" i="46"/>
  <c r="E308" i="46"/>
  <c r="G308" i="46"/>
  <c r="K308" i="46"/>
  <c r="L308" i="46"/>
  <c r="E309" i="46"/>
  <c r="G309" i="46"/>
  <c r="H309" i="46"/>
  <c r="K309" i="46"/>
  <c r="L309" i="46"/>
  <c r="E310" i="46"/>
  <c r="G310" i="46"/>
  <c r="K310" i="46"/>
  <c r="L310" i="46"/>
  <c r="E311" i="46"/>
  <c r="G311" i="46"/>
  <c r="K311" i="46"/>
  <c r="L311" i="46"/>
  <c r="E312" i="46"/>
  <c r="G312" i="46"/>
  <c r="K312" i="46"/>
  <c r="L312" i="46"/>
  <c r="E313" i="46"/>
  <c r="G313" i="46"/>
  <c r="K313" i="46"/>
  <c r="L313" i="46"/>
  <c r="E314" i="46"/>
  <c r="G314" i="46"/>
  <c r="K314" i="46"/>
  <c r="L314" i="46"/>
  <c r="E315" i="46"/>
  <c r="G315" i="46"/>
  <c r="K315" i="46"/>
  <c r="L315" i="46"/>
  <c r="E316" i="46"/>
  <c r="G316" i="46"/>
  <c r="K316" i="46"/>
  <c r="L316" i="46"/>
  <c r="E317" i="46"/>
  <c r="G317" i="46"/>
  <c r="K317" i="46"/>
  <c r="L317" i="46"/>
  <c r="E318" i="46"/>
  <c r="G318" i="46"/>
  <c r="K318" i="46"/>
  <c r="L318" i="46"/>
  <c r="E319" i="46"/>
  <c r="G319" i="46"/>
  <c r="K319" i="46"/>
  <c r="L319" i="46"/>
  <c r="E320" i="46"/>
  <c r="K320" i="46"/>
  <c r="L320" i="46"/>
  <c r="E321" i="46"/>
  <c r="G321" i="46"/>
  <c r="K321" i="46"/>
  <c r="L321" i="46"/>
  <c r="E322" i="46"/>
  <c r="G322" i="46"/>
  <c r="K322" i="46"/>
  <c r="L322" i="46"/>
  <c r="E323" i="46"/>
  <c r="G323" i="46"/>
  <c r="K323" i="46"/>
  <c r="L323" i="46"/>
  <c r="E324" i="46"/>
  <c r="G324" i="46"/>
  <c r="K324" i="46"/>
  <c r="L324" i="46"/>
  <c r="E325" i="46"/>
  <c r="G325" i="46"/>
  <c r="K325" i="46"/>
  <c r="L325" i="46"/>
  <c r="E326" i="46"/>
  <c r="G326" i="46"/>
  <c r="K326" i="46"/>
  <c r="L326" i="46"/>
  <c r="E327" i="46"/>
  <c r="G327" i="46"/>
  <c r="K327" i="46"/>
  <c r="L327" i="46"/>
  <c r="E328" i="46"/>
  <c r="G328" i="46"/>
  <c r="K328" i="46"/>
  <c r="L328" i="46"/>
  <c r="E329" i="46"/>
  <c r="G329" i="46"/>
  <c r="K329" i="46"/>
  <c r="L329" i="46"/>
  <c r="E330" i="46"/>
  <c r="G330" i="46"/>
  <c r="K330" i="46"/>
  <c r="L330" i="46"/>
  <c r="E331" i="46"/>
  <c r="G331" i="46"/>
  <c r="K331" i="46"/>
  <c r="L331" i="46"/>
  <c r="E332" i="46"/>
  <c r="G332" i="46"/>
  <c r="K332" i="46"/>
  <c r="L332" i="46"/>
  <c r="E333" i="46"/>
  <c r="G333" i="46"/>
  <c r="K333" i="46"/>
  <c r="L333" i="46"/>
  <c r="E334" i="46"/>
  <c r="G334" i="46"/>
  <c r="K334" i="46"/>
  <c r="L334" i="46"/>
  <c r="E335" i="46"/>
  <c r="G335" i="46"/>
  <c r="K335" i="46"/>
  <c r="L335" i="46"/>
  <c r="E336" i="46"/>
  <c r="G336" i="46"/>
  <c r="K336" i="46"/>
  <c r="L336" i="46"/>
  <c r="E337" i="46"/>
  <c r="G337" i="46"/>
  <c r="K337" i="46"/>
  <c r="L337" i="46"/>
  <c r="E338" i="46"/>
  <c r="G338" i="46"/>
  <c r="K338" i="46"/>
  <c r="L338" i="46"/>
  <c r="E339" i="46"/>
  <c r="G339" i="46"/>
  <c r="K339" i="46"/>
  <c r="L339" i="46"/>
  <c r="E340" i="46"/>
  <c r="G340" i="46"/>
  <c r="K340" i="46"/>
  <c r="L340" i="46"/>
  <c r="E341" i="46"/>
  <c r="G341" i="46"/>
  <c r="K341" i="46"/>
  <c r="L341" i="46"/>
  <c r="E342" i="46"/>
  <c r="G342" i="46"/>
  <c r="K342" i="46"/>
  <c r="L342" i="46"/>
  <c r="E343" i="46"/>
  <c r="G343" i="46"/>
  <c r="K343" i="46"/>
  <c r="L343" i="46"/>
  <c r="E344" i="46"/>
  <c r="G344" i="46"/>
  <c r="K344" i="46"/>
  <c r="L344" i="46"/>
  <c r="E345" i="46"/>
  <c r="G345" i="46"/>
  <c r="K345" i="46"/>
  <c r="L345" i="46"/>
  <c r="E346" i="46"/>
  <c r="G346" i="46"/>
  <c r="K346" i="46"/>
  <c r="L346" i="46"/>
  <c r="E347" i="46"/>
  <c r="G347" i="46"/>
  <c r="H347" i="46"/>
  <c r="K347" i="46"/>
  <c r="L347" i="46"/>
  <c r="E348" i="46"/>
  <c r="G348" i="46"/>
  <c r="K348" i="46"/>
  <c r="L348" i="46"/>
  <c r="E349" i="46"/>
  <c r="G349" i="46"/>
  <c r="K349" i="46"/>
  <c r="L349" i="46"/>
  <c r="E350" i="46"/>
  <c r="G350" i="46"/>
  <c r="K350" i="46"/>
  <c r="L350" i="46"/>
  <c r="E351" i="46"/>
  <c r="G351" i="46"/>
  <c r="K351" i="46"/>
  <c r="L351" i="46"/>
  <c r="E352" i="46"/>
  <c r="K352" i="46"/>
  <c r="L352" i="46"/>
  <c r="E353" i="46"/>
  <c r="G353" i="46"/>
  <c r="K353" i="46"/>
  <c r="L353" i="46"/>
  <c r="E354" i="46"/>
  <c r="G354" i="46"/>
  <c r="H354" i="46"/>
  <c r="K354" i="46"/>
  <c r="L354" i="46"/>
  <c r="E355" i="46"/>
  <c r="G355" i="46"/>
  <c r="K355" i="46"/>
  <c r="L355" i="46"/>
  <c r="E356" i="46"/>
  <c r="K356" i="46"/>
  <c r="L356" i="46"/>
  <c r="E357" i="46"/>
  <c r="G357" i="46"/>
  <c r="K357" i="46"/>
  <c r="L357" i="46"/>
  <c r="E358" i="46"/>
  <c r="G358" i="46"/>
  <c r="K358" i="46"/>
  <c r="L358" i="46"/>
  <c r="E359" i="46"/>
  <c r="G359" i="46"/>
  <c r="H359" i="46"/>
  <c r="K359" i="46"/>
  <c r="L359" i="46"/>
  <c r="E360" i="46"/>
  <c r="G360" i="46"/>
  <c r="H360" i="46"/>
  <c r="K360" i="46"/>
  <c r="L360" i="46"/>
  <c r="E361" i="46"/>
  <c r="G361" i="46"/>
  <c r="K361" i="46"/>
  <c r="L361" i="46"/>
  <c r="E362" i="46"/>
  <c r="G362" i="46"/>
  <c r="K362" i="46"/>
  <c r="L362" i="46"/>
  <c r="E363" i="46"/>
  <c r="G363" i="46"/>
  <c r="K363" i="46"/>
  <c r="L363" i="46"/>
  <c r="E364" i="46"/>
  <c r="K364" i="46"/>
  <c r="L364" i="46"/>
  <c r="E365" i="46"/>
  <c r="G365" i="46"/>
  <c r="K365" i="46"/>
  <c r="L365" i="46"/>
  <c r="E366" i="46"/>
  <c r="G366" i="46"/>
  <c r="K366" i="46"/>
  <c r="L366" i="46"/>
  <c r="E367" i="46"/>
  <c r="G367" i="46"/>
  <c r="K367" i="46"/>
  <c r="L367" i="46"/>
  <c r="E368" i="46"/>
  <c r="G368" i="46"/>
  <c r="K368" i="46"/>
  <c r="L368" i="46"/>
  <c r="E369" i="46"/>
  <c r="G369" i="46"/>
  <c r="K369" i="46"/>
  <c r="L369" i="46"/>
  <c r="E370" i="46"/>
  <c r="G370" i="46"/>
  <c r="K370" i="46"/>
  <c r="L370" i="46"/>
  <c r="E371" i="46"/>
  <c r="G371" i="46"/>
  <c r="K371" i="46"/>
  <c r="L371" i="46"/>
  <c r="E372" i="46"/>
  <c r="G372" i="46"/>
  <c r="K372" i="46"/>
  <c r="L372" i="46"/>
  <c r="E373" i="46"/>
  <c r="G373" i="46"/>
  <c r="K373" i="46"/>
  <c r="L373" i="46"/>
  <c r="E374" i="46"/>
  <c r="G374" i="46"/>
  <c r="I374" i="46"/>
  <c r="K374" i="46"/>
  <c r="L374" i="46"/>
  <c r="E375" i="46"/>
  <c r="G375" i="46"/>
  <c r="K375" i="46"/>
  <c r="L375" i="46"/>
  <c r="E376" i="46"/>
  <c r="G376" i="46"/>
  <c r="K376" i="46"/>
  <c r="L376" i="46"/>
  <c r="E377" i="46"/>
  <c r="G377" i="46"/>
  <c r="K377" i="46"/>
  <c r="L377" i="46"/>
  <c r="E378" i="46"/>
  <c r="G378" i="46"/>
  <c r="K378" i="46"/>
  <c r="L378" i="46"/>
  <c r="E379" i="46"/>
  <c r="G379" i="46"/>
  <c r="K379" i="46"/>
  <c r="L379" i="46"/>
  <c r="E380" i="46"/>
  <c r="G380" i="46"/>
  <c r="K380" i="46"/>
  <c r="L380" i="46"/>
  <c r="E381" i="46"/>
  <c r="G381" i="46"/>
  <c r="K381" i="46"/>
  <c r="L381" i="46"/>
  <c r="E382" i="46"/>
  <c r="G382" i="46"/>
  <c r="K382" i="46"/>
  <c r="L382" i="46"/>
  <c r="E383" i="46"/>
  <c r="G383" i="46"/>
  <c r="K383" i="46"/>
  <c r="L383" i="46"/>
  <c r="E384" i="46"/>
  <c r="K384" i="46"/>
  <c r="L384" i="46"/>
  <c r="E385" i="46"/>
  <c r="G385" i="46"/>
  <c r="K385" i="46"/>
  <c r="L385" i="46"/>
  <c r="E386" i="46"/>
  <c r="G386" i="46"/>
  <c r="K386" i="46"/>
  <c r="L386" i="46"/>
  <c r="E387" i="46"/>
  <c r="G387" i="46"/>
  <c r="K387" i="46"/>
  <c r="L387" i="46"/>
  <c r="E388" i="46"/>
  <c r="G388" i="46"/>
  <c r="K388" i="46"/>
  <c r="L388" i="46"/>
  <c r="E389" i="46"/>
  <c r="G389" i="46"/>
  <c r="H389" i="46"/>
  <c r="K389" i="46"/>
  <c r="L389" i="46"/>
  <c r="E390" i="46"/>
  <c r="G390" i="46"/>
  <c r="H390" i="46"/>
  <c r="K390" i="46"/>
  <c r="L390" i="46"/>
  <c r="E391" i="46"/>
  <c r="G391" i="46"/>
  <c r="K391" i="46"/>
  <c r="L391" i="46"/>
  <c r="E392" i="46"/>
  <c r="G392" i="46"/>
  <c r="K392" i="46"/>
  <c r="L392" i="46"/>
  <c r="E393" i="46"/>
  <c r="G393" i="46"/>
  <c r="K393" i="46"/>
  <c r="L393" i="46"/>
  <c r="E394" i="46"/>
  <c r="G394" i="46"/>
  <c r="H394" i="46"/>
  <c r="K394" i="46"/>
  <c r="L394" i="46"/>
  <c r="E395" i="46"/>
  <c r="G395" i="46"/>
  <c r="H395" i="46"/>
  <c r="K395" i="46"/>
  <c r="L395" i="46"/>
  <c r="E396" i="46"/>
  <c r="G396" i="46"/>
  <c r="K396" i="46"/>
  <c r="L396" i="46"/>
  <c r="E397" i="46"/>
  <c r="G397" i="46"/>
  <c r="K397" i="46"/>
  <c r="L397" i="46"/>
  <c r="E398" i="46"/>
  <c r="G398" i="46"/>
  <c r="K398" i="46"/>
  <c r="L398" i="46"/>
  <c r="E399" i="46"/>
  <c r="G399" i="46"/>
  <c r="K399" i="46"/>
  <c r="L399" i="46"/>
  <c r="E400" i="46"/>
  <c r="G400" i="46"/>
  <c r="K400" i="46"/>
  <c r="L400" i="46"/>
  <c r="E401" i="46"/>
  <c r="G401" i="46"/>
  <c r="K401" i="46"/>
  <c r="L401" i="46"/>
  <c r="E402" i="46"/>
  <c r="K402" i="46"/>
  <c r="L402" i="46"/>
  <c r="E403" i="46"/>
  <c r="G403" i="46"/>
  <c r="K403" i="46"/>
  <c r="L403" i="46"/>
  <c r="E404" i="46"/>
  <c r="G404" i="46"/>
  <c r="K404" i="46"/>
  <c r="L404" i="46"/>
  <c r="E405" i="46"/>
  <c r="G405" i="46"/>
  <c r="K405" i="46"/>
  <c r="L405" i="46"/>
  <c r="E406" i="46"/>
  <c r="G406" i="46"/>
  <c r="K406" i="46"/>
  <c r="L406" i="46"/>
  <c r="E407" i="46"/>
  <c r="G407" i="46"/>
  <c r="H407" i="46"/>
  <c r="K407" i="46"/>
  <c r="L407" i="46"/>
  <c r="E408" i="46"/>
  <c r="G408" i="46"/>
  <c r="H409" i="46"/>
  <c r="K408" i="46"/>
  <c r="L408" i="46"/>
  <c r="E409" i="46"/>
  <c r="G409" i="46"/>
  <c r="K409" i="46"/>
  <c r="L409" i="46"/>
  <c r="E410" i="46"/>
  <c r="G410" i="46"/>
  <c r="K410" i="46"/>
  <c r="L410" i="46"/>
  <c r="E411" i="46"/>
  <c r="G411" i="46"/>
  <c r="K411" i="46"/>
  <c r="L411" i="46"/>
  <c r="E412" i="46"/>
  <c r="K412" i="46"/>
  <c r="L412" i="46"/>
  <c r="E413" i="46"/>
  <c r="G413" i="46"/>
  <c r="K413" i="46"/>
  <c r="L413" i="46"/>
  <c r="E414" i="46"/>
  <c r="G414" i="46"/>
  <c r="K414" i="46"/>
  <c r="L414" i="46"/>
  <c r="E415" i="46"/>
  <c r="G415" i="46"/>
  <c r="K415" i="46"/>
  <c r="L415" i="46"/>
  <c r="E416" i="46"/>
  <c r="K416" i="46"/>
  <c r="L416" i="46"/>
  <c r="E417" i="46"/>
  <c r="G417" i="46"/>
  <c r="K417" i="46"/>
  <c r="L417" i="46"/>
  <c r="E418" i="46"/>
  <c r="K418" i="46"/>
  <c r="L418" i="46"/>
  <c r="E419" i="46"/>
  <c r="G419" i="46"/>
  <c r="K419" i="46"/>
  <c r="L419" i="46"/>
  <c r="E420" i="46"/>
  <c r="K420" i="46"/>
  <c r="L420" i="46"/>
  <c r="E421" i="46"/>
  <c r="G421" i="46"/>
  <c r="K421" i="46"/>
  <c r="L421" i="46"/>
  <c r="E422" i="46"/>
  <c r="G422" i="46"/>
  <c r="K422" i="46"/>
  <c r="L422" i="46"/>
  <c r="E423" i="46"/>
  <c r="G423" i="46"/>
  <c r="K423" i="46"/>
  <c r="L423" i="46"/>
  <c r="E424" i="46"/>
  <c r="G424" i="46"/>
  <c r="K424" i="46"/>
  <c r="L424" i="46"/>
  <c r="E425" i="46"/>
  <c r="K425" i="46"/>
  <c r="L425" i="46"/>
  <c r="E426" i="46"/>
  <c r="G426" i="46"/>
  <c r="K426" i="46"/>
  <c r="L426" i="46"/>
  <c r="E427" i="46"/>
  <c r="G427" i="46"/>
  <c r="K427" i="46"/>
  <c r="L427" i="46"/>
  <c r="E428" i="46"/>
  <c r="G428" i="46"/>
  <c r="I428" i="46"/>
  <c r="K428" i="46"/>
  <c r="L428" i="46"/>
  <c r="E429" i="46"/>
  <c r="G429" i="46"/>
  <c r="K429" i="46"/>
  <c r="L429" i="46"/>
  <c r="E430" i="46"/>
  <c r="G430" i="46"/>
  <c r="K430" i="46"/>
  <c r="L430" i="46"/>
  <c r="E431" i="46"/>
  <c r="G431" i="46"/>
  <c r="K431" i="46"/>
  <c r="L431" i="46"/>
  <c r="E432" i="46"/>
  <c r="K432" i="46"/>
  <c r="L432" i="46"/>
  <c r="E433" i="46"/>
  <c r="G433" i="46"/>
  <c r="K433" i="46"/>
  <c r="L433" i="46"/>
  <c r="E434" i="46"/>
  <c r="G434" i="46"/>
  <c r="K434" i="46"/>
  <c r="L434" i="46"/>
  <c r="E435" i="46"/>
  <c r="G435" i="46"/>
  <c r="K435" i="46"/>
  <c r="L435" i="46"/>
  <c r="E436" i="46"/>
  <c r="G436" i="46"/>
  <c r="I436" i="46"/>
  <c r="K436" i="46"/>
  <c r="L436" i="46"/>
  <c r="E437" i="46"/>
  <c r="K437" i="46"/>
  <c r="L437" i="46"/>
  <c r="E438" i="46"/>
  <c r="K438" i="46"/>
  <c r="L438" i="46"/>
  <c r="E439" i="46"/>
  <c r="G439" i="46"/>
  <c r="I439" i="46"/>
  <c r="K439" i="46"/>
  <c r="L439" i="46"/>
  <c r="E440" i="46"/>
  <c r="G440" i="46"/>
  <c r="H440" i="46"/>
  <c r="K440" i="46"/>
  <c r="L440" i="46"/>
  <c r="E441" i="46"/>
  <c r="K441" i="46"/>
  <c r="L441" i="46"/>
  <c r="E442" i="46"/>
  <c r="G442" i="46"/>
  <c r="K442" i="46"/>
  <c r="L442" i="46"/>
  <c r="E443" i="46"/>
  <c r="G443" i="46"/>
  <c r="K443" i="46"/>
  <c r="L443" i="46"/>
  <c r="E444" i="46"/>
  <c r="G444" i="46"/>
  <c r="K444" i="46"/>
  <c r="L444" i="46"/>
  <c r="E445" i="46"/>
  <c r="G445" i="46"/>
  <c r="K445" i="46"/>
  <c r="L445" i="46"/>
  <c r="E446" i="46"/>
  <c r="G446" i="46"/>
  <c r="K446" i="46"/>
  <c r="L446" i="46"/>
  <c r="E447" i="46"/>
  <c r="G447" i="46"/>
  <c r="K447" i="46"/>
  <c r="L447" i="46"/>
  <c r="E448" i="46"/>
  <c r="K448" i="46"/>
  <c r="L448" i="46"/>
  <c r="E449" i="46"/>
  <c r="K449" i="46"/>
  <c r="L449" i="46"/>
  <c r="E450" i="46"/>
  <c r="G450" i="46"/>
  <c r="K450" i="46"/>
  <c r="L450" i="46"/>
  <c r="E451" i="46"/>
  <c r="G451" i="46"/>
  <c r="K451" i="46"/>
  <c r="L451" i="46"/>
  <c r="E452" i="46"/>
  <c r="G452" i="46"/>
  <c r="K452" i="46"/>
  <c r="L452" i="46"/>
  <c r="E453" i="46"/>
  <c r="K453" i="46"/>
  <c r="L453" i="46"/>
  <c r="E454" i="46"/>
  <c r="G454" i="46"/>
  <c r="I454" i="46"/>
  <c r="K454" i="46"/>
  <c r="L454" i="46"/>
  <c r="E455" i="46"/>
  <c r="G455" i="46"/>
  <c r="K455" i="46"/>
  <c r="L455" i="46"/>
  <c r="E456" i="46"/>
  <c r="G456" i="46"/>
  <c r="K456" i="46"/>
  <c r="L456" i="46"/>
  <c r="E457" i="46"/>
  <c r="K457" i="46"/>
  <c r="L457" i="46"/>
  <c r="E458" i="46"/>
  <c r="K458" i="46"/>
  <c r="L458" i="46"/>
  <c r="E459" i="46"/>
  <c r="K459" i="46"/>
  <c r="L459" i="46"/>
  <c r="E460" i="46"/>
  <c r="K460" i="46"/>
  <c r="L460" i="46"/>
  <c r="E461" i="46"/>
  <c r="G461" i="46"/>
  <c r="K461" i="46"/>
  <c r="L461" i="46"/>
  <c r="E462" i="46"/>
  <c r="G462" i="46"/>
  <c r="H462" i="46"/>
  <c r="K462" i="46"/>
  <c r="L462" i="46"/>
  <c r="E463" i="46"/>
  <c r="G463" i="46"/>
  <c r="K463" i="46"/>
  <c r="L463" i="46"/>
  <c r="E464" i="46"/>
  <c r="G464" i="46"/>
  <c r="I464" i="46"/>
  <c r="K464" i="46"/>
  <c r="L464" i="46"/>
  <c r="E465" i="46"/>
  <c r="K465" i="46"/>
  <c r="L465" i="46"/>
  <c r="E466" i="46"/>
  <c r="G466" i="46"/>
  <c r="K466" i="46"/>
  <c r="L466" i="46"/>
  <c r="E467" i="46"/>
  <c r="G467" i="46"/>
  <c r="K467" i="46"/>
  <c r="L467" i="46"/>
  <c r="E468" i="46"/>
  <c r="G468" i="46"/>
  <c r="I468" i="46"/>
  <c r="K468" i="46"/>
  <c r="L468" i="46"/>
  <c r="E469" i="46"/>
  <c r="G469" i="46"/>
  <c r="K469" i="46"/>
  <c r="L469" i="46"/>
  <c r="E470" i="46"/>
  <c r="G470" i="46"/>
  <c r="H470" i="46"/>
  <c r="K470" i="46"/>
  <c r="L470" i="46"/>
  <c r="E471" i="46"/>
  <c r="G471" i="46"/>
  <c r="K471" i="46"/>
  <c r="L471" i="46"/>
  <c r="E472" i="46"/>
  <c r="G472" i="46"/>
  <c r="K472" i="46"/>
  <c r="L472" i="46"/>
  <c r="E473" i="46"/>
  <c r="G473" i="46"/>
  <c r="K473" i="46"/>
  <c r="L473" i="46"/>
  <c r="E474" i="46"/>
  <c r="G474" i="46"/>
  <c r="K474" i="46"/>
  <c r="L474" i="46"/>
  <c r="E475" i="46"/>
  <c r="G475" i="46"/>
  <c r="K475" i="46"/>
  <c r="L475" i="46"/>
  <c r="E476" i="46"/>
  <c r="G476" i="46"/>
  <c r="K476" i="46"/>
  <c r="L476" i="46"/>
  <c r="E477" i="46"/>
  <c r="G477" i="46"/>
  <c r="K477" i="46"/>
  <c r="L477" i="46"/>
  <c r="E478" i="46"/>
  <c r="G478" i="46"/>
  <c r="K478" i="46"/>
  <c r="L478" i="46"/>
  <c r="E479" i="46"/>
  <c r="G479" i="46"/>
  <c r="K479" i="46"/>
  <c r="L479" i="46"/>
  <c r="E480" i="46"/>
  <c r="G480" i="46"/>
  <c r="K480" i="46"/>
  <c r="L480" i="46"/>
  <c r="E481" i="46"/>
  <c r="G481" i="46"/>
  <c r="K481" i="46"/>
  <c r="L481" i="46"/>
  <c r="E482" i="46"/>
  <c r="G482" i="46"/>
  <c r="K482" i="46"/>
  <c r="L482" i="46"/>
  <c r="E483" i="46"/>
  <c r="G483" i="46"/>
  <c r="K483" i="46"/>
  <c r="L483" i="46"/>
  <c r="E484" i="46"/>
  <c r="G484" i="46"/>
  <c r="K484" i="46"/>
  <c r="L484" i="46"/>
  <c r="E485" i="46"/>
  <c r="G485" i="46"/>
  <c r="H485" i="46"/>
  <c r="K485" i="46"/>
  <c r="L485" i="46"/>
  <c r="E486" i="46"/>
  <c r="G486" i="46"/>
  <c r="H486" i="46"/>
  <c r="K486" i="46"/>
  <c r="L486" i="46"/>
  <c r="E487" i="46"/>
  <c r="G487" i="46"/>
  <c r="K487" i="46"/>
  <c r="L487" i="46"/>
  <c r="E488" i="46"/>
  <c r="G488" i="46"/>
  <c r="K488" i="46"/>
  <c r="L488" i="46"/>
  <c r="E489" i="46"/>
  <c r="G489" i="46"/>
  <c r="K489" i="46"/>
  <c r="L489" i="46"/>
  <c r="E490" i="46"/>
  <c r="G490" i="46"/>
  <c r="K490" i="46"/>
  <c r="L490" i="46"/>
  <c r="E491" i="46"/>
  <c r="G491" i="46"/>
  <c r="K491" i="46"/>
  <c r="L491" i="46"/>
  <c r="E492" i="46"/>
  <c r="G492" i="46"/>
  <c r="H492" i="46"/>
  <c r="K492" i="46"/>
  <c r="L492" i="46"/>
  <c r="E493" i="46"/>
  <c r="G493" i="46"/>
  <c r="H493" i="46"/>
  <c r="K493" i="46"/>
  <c r="L493" i="46"/>
  <c r="E494" i="46"/>
  <c r="G494" i="46"/>
  <c r="K494" i="46"/>
  <c r="L494" i="46"/>
  <c r="E495" i="46"/>
  <c r="G495" i="46"/>
  <c r="K495" i="46"/>
  <c r="L495" i="46"/>
  <c r="E496" i="46"/>
  <c r="G496" i="46"/>
  <c r="K496" i="46"/>
  <c r="L496" i="46"/>
  <c r="E497" i="46"/>
  <c r="G497" i="46"/>
  <c r="K497" i="46"/>
  <c r="L497" i="46"/>
  <c r="E498" i="46"/>
  <c r="G498" i="46"/>
  <c r="K498" i="46"/>
  <c r="L498" i="46"/>
  <c r="E499" i="46"/>
  <c r="G499" i="46"/>
  <c r="H499" i="46"/>
  <c r="K499" i="46"/>
  <c r="L499" i="46"/>
  <c r="E500" i="46"/>
  <c r="G500" i="46"/>
  <c r="K500" i="46"/>
  <c r="L500" i="46"/>
  <c r="E501" i="46"/>
  <c r="G501" i="46"/>
  <c r="I501" i="46"/>
  <c r="K501" i="46"/>
  <c r="L501" i="46"/>
  <c r="E502" i="46"/>
  <c r="G502" i="46"/>
  <c r="H502" i="46"/>
  <c r="K502" i="46"/>
  <c r="L502" i="46"/>
  <c r="E503" i="46"/>
  <c r="G503" i="46"/>
  <c r="K503" i="46"/>
  <c r="L503" i="46"/>
  <c r="E504" i="46"/>
  <c r="G504" i="46"/>
  <c r="H504" i="46"/>
  <c r="K504" i="46"/>
  <c r="L504" i="46"/>
  <c r="E505" i="46"/>
  <c r="G505" i="46"/>
  <c r="K505" i="46"/>
  <c r="L505" i="46"/>
  <c r="E506" i="46"/>
  <c r="G506" i="46"/>
  <c r="K506" i="46"/>
  <c r="L506" i="46"/>
  <c r="E507" i="46"/>
  <c r="K507" i="46"/>
  <c r="L507" i="46"/>
  <c r="E508" i="46"/>
  <c r="G508" i="46"/>
  <c r="K508" i="46"/>
  <c r="L508" i="46"/>
  <c r="E509" i="46"/>
  <c r="G509" i="46"/>
  <c r="K509" i="46"/>
  <c r="L509" i="46"/>
  <c r="E510" i="46"/>
  <c r="G510" i="46"/>
  <c r="K510" i="46"/>
  <c r="L510" i="46"/>
  <c r="E511" i="46"/>
  <c r="G511" i="46"/>
  <c r="K511" i="46"/>
  <c r="L511" i="46"/>
  <c r="E512" i="46"/>
  <c r="G512" i="46"/>
  <c r="K512" i="46"/>
  <c r="L512" i="46"/>
  <c r="E513" i="46"/>
  <c r="G513" i="46"/>
  <c r="K513" i="46"/>
  <c r="L513" i="46"/>
  <c r="E514" i="46"/>
  <c r="G514" i="46"/>
  <c r="I514" i="46"/>
  <c r="K514" i="46"/>
  <c r="L514" i="46"/>
  <c r="E515" i="46"/>
  <c r="G515" i="46"/>
  <c r="K515" i="46"/>
  <c r="L515" i="46"/>
  <c r="E516" i="46"/>
  <c r="G516" i="46"/>
  <c r="K516" i="46"/>
  <c r="L516" i="46"/>
  <c r="E517" i="46"/>
  <c r="G517" i="46"/>
  <c r="I517" i="46"/>
  <c r="K517" i="46"/>
  <c r="L517" i="46"/>
  <c r="E518" i="46"/>
  <c r="K518" i="46"/>
  <c r="L518" i="46"/>
  <c r="E519" i="46"/>
  <c r="G519" i="46"/>
  <c r="K519" i="46"/>
  <c r="L519" i="46"/>
  <c r="E520" i="46"/>
  <c r="K520" i="46"/>
  <c r="L520" i="46"/>
  <c r="E521" i="46"/>
  <c r="G521" i="46"/>
  <c r="K521" i="46"/>
  <c r="L521" i="46"/>
  <c r="E522" i="46"/>
  <c r="G522" i="46"/>
  <c r="K522" i="46"/>
  <c r="L522" i="46"/>
  <c r="E523" i="46"/>
  <c r="G523" i="46"/>
  <c r="K523" i="46"/>
  <c r="L523" i="46"/>
  <c r="E524" i="46"/>
  <c r="K524" i="46"/>
  <c r="L524" i="46"/>
  <c r="E525" i="46"/>
  <c r="G525" i="46"/>
  <c r="K525" i="46"/>
  <c r="L525" i="46"/>
  <c r="E526" i="46"/>
  <c r="K526" i="46"/>
  <c r="L526" i="46"/>
  <c r="E527" i="46"/>
  <c r="G527" i="46"/>
  <c r="K527" i="46"/>
  <c r="L527" i="46"/>
  <c r="E528" i="46"/>
  <c r="G528" i="46"/>
  <c r="K528" i="46"/>
  <c r="L528" i="46"/>
  <c r="E529" i="46"/>
  <c r="G529" i="46"/>
  <c r="K529" i="46"/>
  <c r="L529" i="46"/>
  <c r="E530" i="46"/>
  <c r="G530" i="46"/>
  <c r="K530" i="46"/>
  <c r="L530" i="46"/>
  <c r="E531" i="46"/>
  <c r="G531" i="46"/>
  <c r="K531" i="46"/>
  <c r="L531" i="46"/>
  <c r="E532" i="46"/>
  <c r="K532" i="46"/>
  <c r="L532" i="46"/>
  <c r="E533" i="46"/>
  <c r="G533" i="46"/>
  <c r="K533" i="46"/>
  <c r="L533" i="46"/>
  <c r="E534" i="46"/>
  <c r="K534" i="46"/>
  <c r="L534" i="46"/>
  <c r="E535" i="46"/>
  <c r="G535" i="46"/>
  <c r="K535" i="46"/>
  <c r="L535" i="46"/>
  <c r="E536" i="46"/>
  <c r="G536" i="46"/>
  <c r="K536" i="46"/>
  <c r="L536" i="46"/>
  <c r="E537" i="46"/>
  <c r="G537" i="46"/>
  <c r="K537" i="46"/>
  <c r="L537" i="46"/>
  <c r="E538" i="46"/>
  <c r="K538" i="46"/>
  <c r="L538" i="46"/>
  <c r="E539" i="46"/>
  <c r="G539" i="46"/>
  <c r="K539" i="46"/>
  <c r="L539" i="46"/>
  <c r="E540" i="46"/>
  <c r="G540" i="46"/>
  <c r="K540" i="46"/>
  <c r="L540" i="46"/>
  <c r="E541" i="46"/>
  <c r="G541" i="46"/>
  <c r="K541" i="46"/>
  <c r="L541" i="46"/>
  <c r="E542" i="46"/>
  <c r="G542" i="46"/>
  <c r="K542" i="46"/>
  <c r="L542" i="46"/>
  <c r="E543" i="46"/>
  <c r="G543" i="46"/>
  <c r="K543" i="46"/>
  <c r="L543" i="46"/>
  <c r="E544" i="46"/>
  <c r="G544" i="46"/>
  <c r="K544" i="46"/>
  <c r="L544" i="46"/>
  <c r="E545" i="46"/>
  <c r="G545" i="46"/>
  <c r="K545" i="46"/>
  <c r="L545" i="46"/>
  <c r="E546" i="46"/>
  <c r="K546" i="46"/>
  <c r="L546" i="46"/>
  <c r="E547" i="46"/>
  <c r="G547" i="46"/>
  <c r="K547" i="46"/>
  <c r="L547" i="46"/>
  <c r="E548" i="46"/>
  <c r="G548" i="46"/>
  <c r="K548" i="46"/>
  <c r="L548" i="46"/>
  <c r="E549" i="46"/>
  <c r="G549" i="46"/>
  <c r="K549" i="46"/>
  <c r="L549" i="46"/>
  <c r="E550" i="46"/>
  <c r="G550" i="46"/>
  <c r="K550" i="46"/>
  <c r="L550" i="46"/>
  <c r="G552" i="46"/>
  <c r="K552" i="46"/>
  <c r="L552" i="46"/>
  <c r="E553" i="46"/>
  <c r="G553" i="46"/>
  <c r="K553" i="46"/>
  <c r="L553" i="46"/>
  <c r="E554" i="46"/>
  <c r="G554" i="46"/>
  <c r="I554" i="46"/>
  <c r="K554" i="46"/>
  <c r="L554" i="46"/>
  <c r="E555" i="46"/>
  <c r="G555" i="46"/>
  <c r="K555" i="46"/>
  <c r="L555" i="46"/>
  <c r="E556" i="46"/>
  <c r="K556" i="46"/>
  <c r="L556" i="46"/>
  <c r="E557" i="46"/>
  <c r="G557" i="46"/>
  <c r="K557" i="46"/>
  <c r="L557" i="46"/>
  <c r="E558" i="46"/>
  <c r="G558" i="46"/>
  <c r="I558" i="46"/>
  <c r="K558" i="46"/>
  <c r="L558" i="46"/>
  <c r="E559" i="46"/>
  <c r="G559" i="46"/>
  <c r="K559" i="46"/>
  <c r="L559" i="46"/>
  <c r="E560" i="46"/>
  <c r="G560" i="46"/>
  <c r="K560" i="46"/>
  <c r="L560" i="46"/>
  <c r="E561" i="46"/>
  <c r="G561" i="46"/>
  <c r="K561" i="46"/>
  <c r="L561" i="46"/>
  <c r="E562" i="46"/>
  <c r="G562" i="46"/>
  <c r="K562" i="46"/>
  <c r="L562" i="46"/>
  <c r="E563" i="46"/>
  <c r="G563" i="46"/>
  <c r="I563" i="46"/>
  <c r="K563" i="46"/>
  <c r="L563" i="46"/>
  <c r="E564" i="46"/>
  <c r="G564" i="46"/>
  <c r="K564" i="46"/>
  <c r="L564" i="46"/>
  <c r="E565" i="46"/>
  <c r="G565" i="46"/>
  <c r="K565" i="46"/>
  <c r="L565" i="46"/>
  <c r="E566" i="46"/>
  <c r="G566" i="46"/>
  <c r="I566" i="46"/>
  <c r="K566" i="46"/>
  <c r="L566" i="46"/>
  <c r="E567" i="46"/>
  <c r="G567" i="46"/>
  <c r="K567" i="46"/>
  <c r="L567" i="46"/>
  <c r="E568" i="46"/>
  <c r="G568" i="46"/>
  <c r="K568" i="46"/>
  <c r="L568" i="46"/>
  <c r="E569" i="46"/>
  <c r="G569" i="46"/>
  <c r="I569" i="46"/>
  <c r="K569" i="46"/>
  <c r="L569" i="46"/>
  <c r="E570" i="46"/>
  <c r="G570" i="46"/>
  <c r="K570" i="46"/>
  <c r="L570" i="46"/>
  <c r="E571" i="46"/>
  <c r="K571" i="46"/>
  <c r="L571" i="46"/>
  <c r="E572" i="46"/>
  <c r="K572" i="46"/>
  <c r="L572" i="46"/>
  <c r="E573" i="46"/>
  <c r="K573" i="46"/>
  <c r="L573" i="46"/>
  <c r="E574" i="46"/>
  <c r="G574" i="46"/>
  <c r="K574" i="46"/>
  <c r="L574" i="46"/>
  <c r="E575" i="46"/>
  <c r="K575" i="46"/>
  <c r="L575" i="46"/>
  <c r="E576" i="46"/>
  <c r="G576" i="46"/>
  <c r="K576" i="46"/>
  <c r="L576" i="46"/>
  <c r="E577" i="46"/>
  <c r="K577" i="46"/>
  <c r="L577" i="46"/>
  <c r="E578" i="46"/>
  <c r="G578" i="46"/>
  <c r="I578" i="46"/>
  <c r="K578" i="46"/>
  <c r="L578" i="46"/>
  <c r="E579" i="46"/>
  <c r="G579" i="46"/>
  <c r="H579" i="46"/>
  <c r="K579" i="46"/>
  <c r="L579" i="46"/>
  <c r="E580" i="46"/>
  <c r="G580" i="46"/>
  <c r="K580" i="46"/>
  <c r="L580" i="46"/>
  <c r="E581" i="46"/>
  <c r="G581" i="46"/>
  <c r="K581" i="46"/>
  <c r="L581" i="46"/>
  <c r="E582" i="46"/>
  <c r="G582" i="46"/>
  <c r="K582" i="46"/>
  <c r="L582" i="46"/>
  <c r="E583" i="46"/>
  <c r="K583" i="46"/>
  <c r="L583" i="46"/>
  <c r="E584" i="46"/>
  <c r="K584" i="46"/>
  <c r="L584" i="46"/>
  <c r="E585" i="46"/>
  <c r="G585" i="46"/>
  <c r="K585" i="46"/>
  <c r="L585" i="46"/>
  <c r="E586" i="46"/>
  <c r="G586" i="46"/>
  <c r="K586" i="46"/>
  <c r="L586" i="46"/>
  <c r="E587" i="46"/>
  <c r="K587" i="46"/>
  <c r="L587" i="46"/>
  <c r="E588" i="46"/>
  <c r="K588" i="46"/>
  <c r="L588" i="46"/>
  <c r="E589" i="46"/>
  <c r="G589" i="46"/>
  <c r="K589" i="46"/>
  <c r="L589" i="46"/>
  <c r="E590" i="46"/>
  <c r="G590" i="46"/>
  <c r="I590" i="46"/>
  <c r="K590" i="46"/>
  <c r="L590" i="46"/>
  <c r="E591" i="46"/>
  <c r="K591" i="46"/>
  <c r="L591" i="46"/>
  <c r="E592" i="46"/>
  <c r="G592" i="46"/>
  <c r="K592" i="46"/>
  <c r="L592" i="46"/>
  <c r="E593" i="46"/>
  <c r="K593" i="46"/>
  <c r="L593" i="46"/>
  <c r="E594" i="46"/>
  <c r="K594" i="46"/>
  <c r="L594" i="46"/>
  <c r="E595" i="46"/>
  <c r="G595" i="46"/>
  <c r="K595" i="46"/>
  <c r="L595" i="46"/>
  <c r="E596" i="46"/>
  <c r="G596" i="46"/>
  <c r="K596" i="46"/>
  <c r="L596" i="46"/>
  <c r="E597" i="46"/>
  <c r="G597" i="46"/>
  <c r="K597" i="46"/>
  <c r="L597" i="46"/>
  <c r="E598" i="46"/>
  <c r="G598" i="46"/>
  <c r="K598" i="46"/>
  <c r="L598" i="46"/>
  <c r="E599" i="46"/>
  <c r="K599" i="46"/>
  <c r="L599" i="46"/>
  <c r="E600" i="46"/>
  <c r="G600" i="46"/>
  <c r="I600" i="46"/>
  <c r="K600" i="46"/>
  <c r="L600" i="46"/>
  <c r="E601" i="46"/>
  <c r="K601" i="46"/>
  <c r="L601" i="46"/>
  <c r="E602" i="46"/>
  <c r="K602" i="46"/>
  <c r="L602" i="46"/>
  <c r="E603" i="46"/>
  <c r="G603" i="46"/>
  <c r="K603" i="46"/>
  <c r="L603" i="46"/>
  <c r="E604" i="46"/>
  <c r="K604" i="46"/>
  <c r="L604" i="46"/>
  <c r="E605" i="46"/>
  <c r="K605" i="46"/>
  <c r="L605" i="46"/>
  <c r="E606" i="46"/>
  <c r="K606" i="46"/>
  <c r="L606" i="46"/>
  <c r="E607" i="46"/>
  <c r="G607" i="46"/>
  <c r="K607" i="46"/>
  <c r="L607" i="46"/>
  <c r="E608" i="46"/>
  <c r="K608" i="46"/>
  <c r="L608" i="46"/>
  <c r="E609" i="46"/>
  <c r="G609" i="46"/>
  <c r="K609" i="46"/>
  <c r="L609" i="46"/>
  <c r="E610" i="46"/>
  <c r="K610" i="46"/>
  <c r="L610" i="46"/>
  <c r="E611" i="46"/>
  <c r="G611" i="46"/>
  <c r="K611" i="46"/>
  <c r="L611" i="46"/>
  <c r="E612" i="46"/>
  <c r="G612" i="46"/>
  <c r="K612" i="46"/>
  <c r="L612" i="46"/>
  <c r="E613" i="46"/>
  <c r="K613" i="46"/>
  <c r="L613" i="46"/>
  <c r="E614" i="46"/>
  <c r="G614" i="46"/>
  <c r="I614" i="46"/>
  <c r="K614" i="46"/>
  <c r="L614" i="46"/>
  <c r="E615" i="46"/>
  <c r="G615" i="46"/>
  <c r="K615" i="46"/>
  <c r="L615" i="46"/>
  <c r="E616" i="46"/>
  <c r="G616" i="46"/>
  <c r="K616" i="46"/>
  <c r="L616" i="46"/>
  <c r="E617" i="46"/>
  <c r="G617" i="46"/>
  <c r="K617" i="46"/>
  <c r="L617" i="46"/>
  <c r="E618" i="46"/>
  <c r="G618" i="46"/>
  <c r="I618" i="46"/>
  <c r="K618" i="46"/>
  <c r="L618" i="46"/>
  <c r="E619" i="46"/>
  <c r="K619" i="46"/>
  <c r="L619" i="46"/>
  <c r="E620" i="46"/>
  <c r="G620" i="46"/>
  <c r="K620" i="46"/>
  <c r="L620" i="46"/>
  <c r="E621" i="46"/>
  <c r="G621" i="46"/>
  <c r="I621" i="46"/>
  <c r="K621" i="46"/>
  <c r="L621" i="46"/>
  <c r="E622" i="46"/>
  <c r="K622" i="46"/>
  <c r="L622" i="46"/>
  <c r="E623" i="46"/>
  <c r="K623" i="46"/>
  <c r="L623" i="46"/>
  <c r="E624" i="46"/>
  <c r="K624" i="46"/>
  <c r="L624" i="46"/>
  <c r="E625" i="46"/>
  <c r="K625" i="46"/>
  <c r="L625" i="46"/>
  <c r="E626" i="46"/>
  <c r="G626" i="46"/>
  <c r="I626" i="46"/>
  <c r="K626" i="46"/>
  <c r="L626" i="46"/>
  <c r="E627" i="46"/>
  <c r="G627" i="46"/>
  <c r="K627" i="46"/>
  <c r="L627" i="46"/>
  <c r="E628" i="46"/>
  <c r="G628" i="46"/>
  <c r="K628" i="46"/>
  <c r="L628" i="46"/>
  <c r="E629" i="46"/>
  <c r="G629" i="46"/>
  <c r="I629" i="46"/>
  <c r="K629" i="46"/>
  <c r="L629" i="46"/>
  <c r="E630" i="46"/>
  <c r="K630" i="46"/>
  <c r="L630" i="46"/>
  <c r="E631" i="46"/>
  <c r="G631" i="46"/>
  <c r="K631" i="46"/>
  <c r="L631" i="46"/>
  <c r="E632" i="46"/>
  <c r="G632" i="46"/>
  <c r="K632" i="46"/>
  <c r="L632" i="46"/>
  <c r="E633" i="46"/>
  <c r="G633" i="46"/>
  <c r="K633" i="46"/>
  <c r="L633" i="46"/>
  <c r="E634" i="46"/>
  <c r="K634" i="46"/>
  <c r="L634" i="46"/>
  <c r="E635" i="46"/>
  <c r="G635" i="46"/>
  <c r="K635" i="46"/>
  <c r="L635" i="46"/>
  <c r="E636" i="46"/>
  <c r="G636" i="46"/>
  <c r="K636" i="46"/>
  <c r="L636" i="46"/>
  <c r="E637" i="46"/>
  <c r="G637" i="46"/>
  <c r="I637" i="46"/>
  <c r="K637" i="46"/>
  <c r="L637" i="46"/>
  <c r="E638" i="46"/>
  <c r="G638" i="46"/>
  <c r="K638" i="46"/>
  <c r="L638" i="46"/>
  <c r="E639" i="46"/>
  <c r="K639" i="46"/>
  <c r="L639" i="46"/>
  <c r="E640" i="46"/>
  <c r="K640" i="46"/>
  <c r="L640" i="46"/>
  <c r="E641" i="46"/>
  <c r="G641" i="46"/>
  <c r="K641" i="46"/>
  <c r="L641" i="46"/>
  <c r="E642" i="46"/>
  <c r="G642" i="46"/>
  <c r="K642" i="46"/>
  <c r="L642" i="46"/>
  <c r="E643" i="46"/>
  <c r="G643" i="46"/>
  <c r="H643" i="46"/>
  <c r="K643" i="46"/>
  <c r="L643" i="46"/>
  <c r="E644" i="46"/>
  <c r="K644" i="46"/>
  <c r="L644" i="46"/>
  <c r="E645" i="46"/>
  <c r="G645" i="46"/>
  <c r="K645" i="46"/>
  <c r="L645" i="46"/>
  <c r="E646" i="46"/>
  <c r="G646" i="46"/>
  <c r="K646" i="46"/>
  <c r="L646" i="46"/>
  <c r="E647" i="46"/>
  <c r="G647" i="46"/>
  <c r="K647" i="46"/>
  <c r="L647" i="46"/>
  <c r="E648" i="46"/>
  <c r="G648" i="46"/>
  <c r="K648" i="46"/>
  <c r="L648" i="46"/>
  <c r="E649" i="46"/>
  <c r="G649" i="46"/>
  <c r="K649" i="46"/>
  <c r="L649" i="46"/>
  <c r="E650" i="46"/>
  <c r="G650" i="46"/>
  <c r="K650" i="46"/>
  <c r="L650" i="46"/>
  <c r="E651" i="46"/>
  <c r="K651" i="46"/>
  <c r="L651" i="46"/>
  <c r="E652" i="46"/>
  <c r="G652" i="46"/>
  <c r="K652" i="46"/>
  <c r="L652" i="46"/>
  <c r="E653" i="46"/>
  <c r="G653" i="46"/>
  <c r="K653" i="46"/>
  <c r="L653" i="46"/>
  <c r="E654" i="46"/>
  <c r="G654" i="46"/>
  <c r="K654" i="46"/>
  <c r="L654" i="46"/>
  <c r="E655" i="46"/>
  <c r="G655" i="46"/>
  <c r="K655" i="46"/>
  <c r="L655" i="46"/>
  <c r="E656" i="46"/>
  <c r="G656" i="46"/>
  <c r="K656" i="46"/>
  <c r="L656" i="46"/>
  <c r="E657" i="46"/>
  <c r="G657" i="46"/>
  <c r="K657" i="46"/>
  <c r="L657" i="46"/>
  <c r="E658" i="46"/>
  <c r="G658" i="46"/>
  <c r="K658" i="46"/>
  <c r="L658" i="46"/>
  <c r="E659" i="46"/>
  <c r="K659" i="46"/>
  <c r="L659" i="46"/>
  <c r="E660" i="46"/>
  <c r="G660" i="46"/>
  <c r="K660" i="46"/>
  <c r="L660" i="46"/>
  <c r="E661" i="46"/>
  <c r="G661" i="46"/>
  <c r="K661" i="46"/>
  <c r="L661" i="46"/>
  <c r="E662" i="46"/>
  <c r="G662" i="46"/>
  <c r="K662" i="46"/>
  <c r="L662" i="46"/>
  <c r="E663" i="46"/>
  <c r="G663" i="46"/>
  <c r="K663" i="46"/>
  <c r="L663" i="46"/>
  <c r="E664" i="46"/>
  <c r="K664" i="46"/>
  <c r="L664" i="46"/>
  <c r="E665" i="46"/>
  <c r="G665" i="46"/>
  <c r="K665" i="46"/>
  <c r="L665" i="46"/>
  <c r="E666" i="46"/>
  <c r="G666" i="46"/>
  <c r="K666" i="46"/>
  <c r="L666" i="46"/>
  <c r="E667" i="46"/>
  <c r="G667" i="46"/>
  <c r="K667" i="46"/>
  <c r="L667" i="46"/>
  <c r="E668" i="46"/>
  <c r="G668" i="46"/>
  <c r="K668" i="46"/>
  <c r="L668" i="46"/>
  <c r="E669" i="46"/>
  <c r="G669" i="46"/>
  <c r="K669" i="46"/>
  <c r="L669" i="46"/>
  <c r="E670" i="46"/>
  <c r="G670" i="46"/>
  <c r="K670" i="46"/>
  <c r="L670" i="46"/>
  <c r="E671" i="46"/>
  <c r="G671" i="46"/>
  <c r="K671" i="46"/>
  <c r="L671" i="46"/>
  <c r="E672" i="46"/>
  <c r="K672" i="46"/>
  <c r="L672" i="46"/>
  <c r="E673" i="46"/>
  <c r="K673" i="46"/>
  <c r="L673" i="46"/>
  <c r="E674" i="46"/>
  <c r="K674" i="46"/>
  <c r="L674" i="46"/>
  <c r="E675" i="46"/>
  <c r="K675" i="46"/>
  <c r="L675" i="46"/>
  <c r="E676" i="46"/>
  <c r="K676" i="46"/>
  <c r="L676" i="46"/>
  <c r="E677" i="46"/>
  <c r="G677" i="46"/>
  <c r="K677" i="46"/>
  <c r="L677" i="46"/>
  <c r="E678" i="46"/>
  <c r="K678" i="46"/>
  <c r="L678" i="46"/>
  <c r="E679" i="46"/>
  <c r="K679" i="46"/>
  <c r="L679" i="46"/>
  <c r="E680" i="46"/>
  <c r="K680" i="46"/>
  <c r="L680" i="46"/>
  <c r="E681" i="46"/>
  <c r="K681" i="46"/>
  <c r="L681" i="46"/>
  <c r="E682" i="46"/>
  <c r="K682" i="46"/>
  <c r="L682" i="46"/>
  <c r="E683" i="46"/>
  <c r="G683" i="46"/>
  <c r="K683" i="46"/>
  <c r="L683" i="46"/>
  <c r="E684" i="46"/>
  <c r="K684" i="46"/>
  <c r="L684" i="46"/>
  <c r="E685" i="46"/>
  <c r="K685" i="46"/>
  <c r="L685" i="46"/>
  <c r="E686" i="46"/>
  <c r="K686" i="46"/>
  <c r="L686" i="46"/>
  <c r="E687" i="46"/>
  <c r="K687" i="46"/>
  <c r="L687" i="46"/>
  <c r="E688" i="46"/>
  <c r="K688" i="46"/>
  <c r="L688" i="46"/>
  <c r="E689" i="46"/>
  <c r="K689" i="46"/>
  <c r="L689" i="46"/>
  <c r="E690" i="46"/>
  <c r="K690" i="46"/>
  <c r="L690" i="46"/>
  <c r="E691" i="46"/>
  <c r="K691" i="46"/>
  <c r="L691" i="46"/>
  <c r="E692" i="46"/>
  <c r="G692" i="46"/>
  <c r="K692" i="46"/>
  <c r="L692" i="46"/>
  <c r="G2" i="45"/>
  <c r="R2" i="45"/>
  <c r="G19" i="45"/>
  <c r="R3" i="45"/>
  <c r="R4" i="45"/>
  <c r="R5" i="45"/>
  <c r="R6" i="45"/>
  <c r="R7" i="45"/>
  <c r="B1" i="44"/>
  <c r="F8" i="44"/>
  <c r="F9" i="44"/>
  <c r="F10" i="44"/>
  <c r="F11" i="44"/>
  <c r="F12" i="44"/>
  <c r="F15" i="44"/>
  <c r="F16" i="44" s="1"/>
  <c r="F18" i="44"/>
  <c r="F19" i="44" s="1"/>
  <c r="F27" i="44"/>
  <c r="F29" i="44"/>
  <c r="F30" i="44"/>
  <c r="F31" i="44"/>
  <c r="F32" i="44"/>
  <c r="F35" i="44"/>
  <c r="G685" i="46"/>
  <c r="G672" i="46"/>
  <c r="G674" i="46"/>
  <c r="G678" i="46"/>
  <c r="H678" i="46"/>
  <c r="G679" i="46"/>
  <c r="G680" i="46"/>
  <c r="G684" i="46"/>
  <c r="G675" i="46"/>
  <c r="H675" i="46"/>
  <c r="G673" i="46"/>
  <c r="G676" i="46"/>
  <c r="G682" i="46"/>
  <c r="G681" i="46"/>
  <c r="G691" i="46"/>
  <c r="G250" i="46"/>
  <c r="G518" i="46"/>
  <c r="G687" i="46"/>
  <c r="G689" i="46"/>
  <c r="G11" i="51"/>
  <c r="H543" i="46"/>
  <c r="H237" i="46"/>
  <c r="H249" i="46"/>
  <c r="H301" i="46"/>
  <c r="H268" i="46"/>
  <c r="H231" i="46"/>
  <c r="H271" i="46"/>
  <c r="H214" i="46"/>
  <c r="H234" i="46"/>
  <c r="H228" i="46"/>
  <c r="H267" i="46"/>
  <c r="K11" i="51"/>
  <c r="I15" i="46"/>
  <c r="H105" i="46"/>
  <c r="I210" i="46"/>
  <c r="I246" i="46"/>
  <c r="I277" i="46"/>
  <c r="I284" i="46"/>
  <c r="I294" i="46"/>
  <c r="I297" i="46"/>
  <c r="I382" i="46"/>
  <c r="I397" i="46"/>
  <c r="I317" i="46"/>
  <c r="I324" i="46"/>
  <c r="H339" i="46"/>
  <c r="H343" i="46"/>
  <c r="I370" i="46"/>
  <c r="I375" i="46"/>
  <c r="I379" i="46"/>
  <c r="I413" i="46"/>
  <c r="I521" i="46"/>
  <c r="I533" i="46"/>
  <c r="I542" i="46"/>
  <c r="I237" i="46"/>
  <c r="I535" i="46"/>
  <c r="I249" i="46"/>
  <c r="I360" i="46"/>
  <c r="I231" i="46"/>
  <c r="I234" i="46"/>
  <c r="I349" i="46"/>
  <c r="I229" i="46"/>
  <c r="I221" i="46"/>
  <c r="H186" i="46"/>
  <c r="I547" i="46"/>
  <c r="I333" i="46"/>
  <c r="I301" i="46"/>
  <c r="I271" i="46"/>
  <c r="I251" i="46"/>
  <c r="I227" i="46"/>
  <c r="I186" i="46"/>
  <c r="I240" i="46"/>
  <c r="I228" i="46"/>
  <c r="I255" i="46"/>
  <c r="I213" i="46"/>
  <c r="I233" i="46"/>
  <c r="I217" i="46"/>
  <c r="I243" i="46"/>
  <c r="I188" i="46"/>
  <c r="H188" i="46"/>
  <c r="I361" i="46"/>
  <c r="H361" i="46"/>
  <c r="I429" i="46"/>
  <c r="H429" i="46"/>
  <c r="H431" i="46"/>
  <c r="I431" i="46"/>
  <c r="H443" i="46"/>
  <c r="I443" i="46"/>
  <c r="I451" i="46"/>
  <c r="H451" i="46"/>
  <c r="H452" i="46"/>
  <c r="I452" i="46"/>
  <c r="I463" i="46"/>
  <c r="H463" i="46"/>
  <c r="H469" i="46"/>
  <c r="I469" i="46"/>
  <c r="I503" i="46"/>
  <c r="H503" i="46"/>
  <c r="H167" i="46"/>
  <c r="H108" i="46"/>
  <c r="H303" i="46"/>
  <c r="H342" i="46"/>
  <c r="I214" i="46"/>
  <c r="I215" i="46"/>
  <c r="I216" i="46"/>
  <c r="I222" i="46"/>
  <c r="I223" i="46"/>
  <c r="H255" i="46"/>
  <c r="I415" i="46"/>
  <c r="I417" i="46"/>
  <c r="I419" i="46"/>
  <c r="I422" i="46"/>
  <c r="I434" i="46"/>
  <c r="I302" i="46"/>
  <c r="H302" i="46"/>
  <c r="I307" i="46"/>
  <c r="H308" i="46"/>
  <c r="I327" i="46"/>
  <c r="H328" i="46"/>
  <c r="I329" i="46"/>
  <c r="H330" i="46"/>
  <c r="I345" i="46"/>
  <c r="H346" i="46"/>
  <c r="H345" i="46"/>
  <c r="I355" i="46"/>
  <c r="H355" i="46"/>
  <c r="H705" i="46"/>
  <c r="H704" i="46"/>
  <c r="H700" i="46"/>
  <c r="H286" i="46"/>
  <c r="H262" i="46"/>
  <c r="I14" i="46"/>
  <c r="H14" i="46"/>
  <c r="H240" i="46"/>
  <c r="I239" i="46"/>
  <c r="H247" i="46"/>
  <c r="I247" i="46"/>
  <c r="H248" i="46"/>
  <c r="I285" i="46"/>
  <c r="H285" i="46"/>
  <c r="I299" i="46"/>
  <c r="H300" i="46"/>
  <c r="H358" i="46"/>
  <c r="I357" i="46"/>
  <c r="H396" i="46"/>
  <c r="I396" i="46"/>
  <c r="I404" i="46"/>
  <c r="H404" i="46"/>
  <c r="H408" i="46"/>
  <c r="I408" i="46"/>
  <c r="I423" i="46"/>
  <c r="H423" i="46"/>
  <c r="H424" i="46"/>
  <c r="I424" i="46"/>
  <c r="H427" i="46"/>
  <c r="I427" i="46"/>
  <c r="H318" i="46"/>
  <c r="H327" i="46"/>
  <c r="I650" i="46"/>
  <c r="I655" i="46"/>
  <c r="I225" i="46"/>
  <c r="H225" i="46"/>
  <c r="I304" i="46"/>
  <c r="H304" i="46"/>
  <c r="I311" i="46"/>
  <c r="H312" i="46"/>
  <c r="H552" i="46"/>
  <c r="I552" i="46"/>
  <c r="H703" i="46"/>
  <c r="I685" i="46"/>
  <c r="I476" i="46"/>
  <c r="H476" i="46"/>
  <c r="I482" i="46"/>
  <c r="H482" i="46"/>
  <c r="I677" i="46"/>
  <c r="I683" i="46"/>
  <c r="I555" i="46"/>
  <c r="H555" i="46"/>
  <c r="I281" i="46"/>
  <c r="I289" i="46"/>
  <c r="I305" i="46"/>
  <c r="I371" i="46"/>
  <c r="I385" i="46"/>
  <c r="I506" i="46"/>
  <c r="I511" i="46"/>
  <c r="I523" i="46"/>
  <c r="H57" i="46"/>
  <c r="H494" i="46"/>
  <c r="H550" i="46"/>
  <c r="H307" i="46"/>
  <c r="I245" i="46"/>
  <c r="H246" i="46"/>
  <c r="H261" i="46"/>
  <c r="I260" i="46"/>
  <c r="H275" i="46"/>
  <c r="I275" i="46"/>
  <c r="H295" i="46"/>
  <c r="I295" i="46"/>
  <c r="H299" i="46"/>
  <c r="I298" i="46"/>
  <c r="H298" i="46"/>
  <c r="H326" i="46"/>
  <c r="H325" i="46"/>
  <c r="I325" i="46"/>
  <c r="I337" i="46"/>
  <c r="H338" i="46"/>
  <c r="I467" i="46"/>
  <c r="H467" i="46"/>
  <c r="H471" i="46"/>
  <c r="I471" i="46"/>
  <c r="H472" i="46"/>
  <c r="H473" i="46"/>
  <c r="I491" i="46"/>
  <c r="H491" i="46"/>
  <c r="H497" i="46"/>
  <c r="H498" i="46"/>
  <c r="I516" i="46"/>
  <c r="H517" i="46"/>
  <c r="H528" i="46"/>
  <c r="H529" i="46"/>
  <c r="I553" i="46"/>
  <c r="H553" i="46"/>
  <c r="H554" i="46"/>
  <c r="H65" i="46"/>
  <c r="H488" i="46"/>
  <c r="H541" i="46"/>
  <c r="H481" i="46"/>
  <c r="H490" i="46"/>
  <c r="I211" i="46"/>
  <c r="H212" i="46"/>
  <c r="H220" i="46"/>
  <c r="I219" i="46"/>
  <c r="H226" i="46"/>
  <c r="I226" i="46"/>
  <c r="H235" i="46"/>
  <c r="H236" i="46"/>
  <c r="I235" i="46"/>
  <c r="H241" i="46"/>
  <c r="I241" i="46"/>
  <c r="H242" i="46"/>
  <c r="H243" i="46"/>
  <c r="I253" i="46"/>
  <c r="H254" i="46"/>
  <c r="I257" i="46"/>
  <c r="H258" i="46"/>
  <c r="H257" i="46"/>
  <c r="H260" i="46"/>
  <c r="H259" i="46"/>
  <c r="I259" i="46"/>
  <c r="H264" i="46"/>
  <c r="H263" i="46"/>
  <c r="I263" i="46"/>
  <c r="I265" i="46"/>
  <c r="H265" i="46"/>
  <c r="H269" i="46"/>
  <c r="I269" i="46"/>
  <c r="H270" i="46"/>
  <c r="H273" i="46"/>
  <c r="H274" i="46"/>
  <c r="H276" i="46"/>
  <c r="H277" i="46"/>
  <c r="H291" i="46"/>
  <c r="H292" i="46"/>
  <c r="I293" i="46"/>
  <c r="H294" i="46"/>
  <c r="H297" i="46"/>
  <c r="I296" i="46"/>
  <c r="H296" i="46"/>
  <c r="I316" i="46"/>
  <c r="H317" i="46"/>
  <c r="H316" i="46"/>
  <c r="I323" i="46"/>
  <c r="H324" i="46"/>
  <c r="H337" i="46"/>
  <c r="H336" i="46"/>
  <c r="I336" i="46"/>
  <c r="H474" i="46"/>
  <c r="H475" i="46"/>
  <c r="H487" i="46"/>
  <c r="I487" i="46"/>
  <c r="I489" i="46"/>
  <c r="H489" i="46"/>
  <c r="H496" i="46"/>
  <c r="H495" i="46"/>
  <c r="I495" i="46"/>
  <c r="H516" i="46"/>
  <c r="H515" i="46"/>
  <c r="I515" i="46"/>
  <c r="H544" i="46"/>
  <c r="I544" i="46"/>
  <c r="I545" i="46"/>
  <c r="H545" i="46"/>
  <c r="H559" i="46"/>
  <c r="I559" i="46"/>
  <c r="H566" i="46"/>
  <c r="I565" i="46"/>
  <c r="H580" i="46"/>
  <c r="I580" i="46"/>
  <c r="H66" i="46"/>
  <c r="H512" i="46"/>
  <c r="I500" i="46"/>
  <c r="H501" i="46"/>
  <c r="H500" i="46"/>
  <c r="H509" i="46"/>
  <c r="H369" i="46"/>
  <c r="H397" i="46"/>
  <c r="H445" i="46"/>
  <c r="H446" i="46"/>
  <c r="I445" i="46"/>
  <c r="H511" i="46"/>
  <c r="H510" i="46"/>
  <c r="H64" i="46"/>
  <c r="H549" i="46"/>
  <c r="I667" i="46"/>
  <c r="H379" i="46"/>
  <c r="I378" i="46"/>
  <c r="I381" i="46"/>
  <c r="H382" i="46"/>
  <c r="H393" i="46"/>
  <c r="I392" i="46"/>
  <c r="H61" i="46"/>
  <c r="I731" i="46"/>
  <c r="H732" i="46"/>
  <c r="N82" i="47"/>
  <c r="E244" i="47"/>
  <c r="L18" i="47"/>
  <c r="K18" i="47"/>
  <c r="F244" i="47"/>
  <c r="N81" i="47"/>
  <c r="O81" i="47"/>
  <c r="P81" i="47"/>
  <c r="F132" i="47"/>
  <c r="N80" i="47"/>
  <c r="O80" i="47"/>
  <c r="P80" i="47"/>
  <c r="H289" i="46"/>
  <c r="H288" i="46"/>
  <c r="I733" i="46"/>
  <c r="H733" i="46"/>
  <c r="K7" i="47"/>
  <c r="E132" i="47"/>
  <c r="L7" i="47"/>
  <c r="H694" i="46"/>
  <c r="I377" i="46"/>
  <c r="I383" i="46"/>
  <c r="H57" i="48"/>
  <c r="I57" i="48"/>
  <c r="E265" i="47"/>
  <c r="K21" i="47"/>
  <c r="H102" i="46"/>
  <c r="H103" i="46"/>
  <c r="I557" i="46"/>
  <c r="H558" i="46"/>
  <c r="I560" i="46"/>
  <c r="H560" i="46"/>
  <c r="H565" i="46"/>
  <c r="H564" i="46"/>
  <c r="I564" i="46"/>
  <c r="G369" i="47"/>
  <c r="L12" i="47"/>
  <c r="E369" i="47"/>
  <c r="K5" i="47"/>
  <c r="E284" i="47"/>
  <c r="L5" i="47"/>
  <c r="F284" i="47"/>
  <c r="N78" i="47"/>
  <c r="O78" i="47"/>
  <c r="P78" i="47"/>
  <c r="K20" i="47"/>
  <c r="E259" i="47"/>
  <c r="L20" i="47"/>
  <c r="N77" i="47"/>
  <c r="O77" i="47"/>
  <c r="P77" i="47"/>
  <c r="F259" i="47"/>
  <c r="K24" i="47"/>
  <c r="E255" i="47"/>
  <c r="L24" i="47"/>
  <c r="N76" i="47"/>
  <c r="F255" i="47"/>
  <c r="K29" i="47"/>
  <c r="E331" i="47"/>
  <c r="L29" i="47"/>
  <c r="H110" i="46"/>
  <c r="H111" i="46"/>
  <c r="I252" i="46"/>
  <c r="H252" i="46"/>
  <c r="H253" i="46"/>
  <c r="I373" i="46"/>
  <c r="H374" i="46"/>
  <c r="I380" i="46"/>
  <c r="H380" i="46"/>
  <c r="H381" i="46"/>
  <c r="I388" i="46"/>
  <c r="H388" i="46"/>
  <c r="H391" i="46"/>
  <c r="H392" i="46"/>
  <c r="H378" i="46"/>
  <c r="I50" i="48"/>
  <c r="I51" i="48"/>
  <c r="E38" i="48"/>
  <c r="K12" i="47"/>
  <c r="I722" i="46"/>
  <c r="H723" i="46"/>
  <c r="I718" i="46"/>
  <c r="H333" i="46"/>
  <c r="G717" i="46"/>
  <c r="H718" i="46"/>
  <c r="I187" i="46"/>
  <c r="G448" i="46"/>
  <c r="G458" i="46"/>
  <c r="I458" i="46"/>
  <c r="G320" i="46"/>
  <c r="G432" i="46"/>
  <c r="H656" i="46"/>
  <c r="G460" i="46"/>
  <c r="H557" i="46"/>
  <c r="H505" i="46"/>
  <c r="H128" i="46"/>
  <c r="H648" i="46"/>
  <c r="H654" i="46"/>
  <c r="H676" i="46"/>
  <c r="H348" i="46"/>
  <c r="I435" i="46"/>
  <c r="G507" i="46"/>
  <c r="G532" i="46"/>
  <c r="G686" i="46"/>
  <c r="H686" i="46"/>
  <c r="G688" i="46"/>
  <c r="G690" i="46"/>
  <c r="G449" i="46"/>
  <c r="G538" i="46"/>
  <c r="G132" i="46"/>
  <c r="H215" i="46"/>
  <c r="I442" i="46"/>
  <c r="I450" i="46"/>
  <c r="I525" i="46"/>
  <c r="G526" i="46"/>
  <c r="G420" i="46"/>
  <c r="I420" i="46"/>
  <c r="I426" i="46"/>
  <c r="H428" i="46"/>
  <c r="I528" i="46"/>
  <c r="G534" i="46"/>
  <c r="I537" i="46"/>
  <c r="I539" i="46"/>
  <c r="H542" i="46"/>
  <c r="I543" i="46"/>
  <c r="H305" i="46"/>
  <c r="H306" i="46"/>
  <c r="H430" i="46"/>
  <c r="I430" i="46"/>
  <c r="I519" i="46"/>
  <c r="G520" i="46"/>
  <c r="I527" i="46"/>
  <c r="I531" i="46"/>
  <c r="I541" i="46"/>
  <c r="I387" i="46"/>
  <c r="I389" i="46"/>
  <c r="I390" i="46"/>
  <c r="I391" i="46"/>
  <c r="I394" i="46"/>
  <c r="I395" i="46"/>
  <c r="I399" i="46"/>
  <c r="I401" i="46"/>
  <c r="I403" i="46"/>
  <c r="I407" i="46"/>
  <c r="G524" i="46"/>
  <c r="I529" i="46"/>
  <c r="G546" i="46"/>
  <c r="I643" i="46"/>
  <c r="I647" i="46"/>
  <c r="G584" i="46"/>
  <c r="G593" i="46"/>
  <c r="G608" i="46"/>
  <c r="G172" i="46"/>
  <c r="G158" i="46"/>
  <c r="G176" i="46"/>
  <c r="H197" i="46"/>
  <c r="H204" i="46"/>
  <c r="H208" i="46"/>
  <c r="I212" i="46"/>
  <c r="I220" i="46"/>
  <c r="H221" i="46"/>
  <c r="H222" i="46"/>
  <c r="H223" i="46"/>
  <c r="I224" i="46"/>
  <c r="I462" i="46"/>
  <c r="G571" i="46"/>
  <c r="G605" i="46"/>
  <c r="G624" i="46"/>
  <c r="I230" i="46"/>
  <c r="H230" i="46"/>
  <c r="H245" i="46"/>
  <c r="G364" i="46"/>
  <c r="H405" i="46"/>
  <c r="G412" i="46"/>
  <c r="G416" i="46"/>
  <c r="G418" i="46"/>
  <c r="G425" i="46"/>
  <c r="G437" i="46"/>
  <c r="G441" i="46"/>
  <c r="H464" i="46"/>
  <c r="G594" i="46"/>
  <c r="I594" i="46"/>
  <c r="G604" i="46"/>
  <c r="I604" i="46"/>
  <c r="G613" i="46"/>
  <c r="G630" i="46"/>
  <c r="I630" i="46"/>
  <c r="H375" i="46"/>
  <c r="H383" i="46"/>
  <c r="G619" i="46"/>
  <c r="G625" i="46"/>
  <c r="H626" i="46"/>
  <c r="G572" i="46"/>
  <c r="I572" i="46"/>
  <c r="G573" i="46"/>
  <c r="G583" i="46"/>
  <c r="I583" i="46"/>
  <c r="G601" i="46"/>
  <c r="G622" i="46"/>
  <c r="I622" i="46"/>
  <c r="I473" i="46"/>
  <c r="I474" i="46"/>
  <c r="I475" i="46"/>
  <c r="I478" i="46"/>
  <c r="I480" i="46"/>
  <c r="I481" i="46"/>
  <c r="I484" i="46"/>
  <c r="I485" i="46"/>
  <c r="I486" i="46"/>
  <c r="I488" i="46"/>
  <c r="I490" i="46"/>
  <c r="I492" i="46"/>
  <c r="I494" i="46"/>
  <c r="I496" i="46"/>
  <c r="I497" i="46"/>
  <c r="I498" i="46"/>
  <c r="I499" i="46"/>
  <c r="I502" i="46"/>
  <c r="I504" i="46"/>
  <c r="I508" i="46"/>
  <c r="I509" i="46"/>
  <c r="I510" i="46"/>
  <c r="I512" i="46"/>
  <c r="G587" i="46"/>
  <c r="G588" i="46"/>
  <c r="G591" i="46"/>
  <c r="I591" i="46"/>
  <c r="G599" i="46"/>
  <c r="G606" i="46"/>
  <c r="G610" i="46"/>
  <c r="G634" i="46"/>
  <c r="H548" i="46"/>
  <c r="I548" i="46"/>
  <c r="I549" i="46"/>
  <c r="I550" i="46"/>
  <c r="G575" i="46"/>
  <c r="G577" i="46"/>
  <c r="H53" i="46"/>
  <c r="H54" i="46"/>
  <c r="H52" i="46"/>
  <c r="H48" i="46"/>
  <c r="H46" i="46"/>
  <c r="H45" i="46"/>
  <c r="H49" i="46"/>
  <c r="H51" i="46"/>
  <c r="H722" i="46"/>
  <c r="G720" i="46"/>
  <c r="H721" i="46"/>
  <c r="G719" i="46"/>
  <c r="G161" i="46"/>
  <c r="G200" i="46"/>
  <c r="H211" i="46"/>
  <c r="H217" i="46"/>
  <c r="G218" i="46"/>
  <c r="H322" i="46"/>
  <c r="E39" i="48"/>
  <c r="I567" i="46"/>
  <c r="I691" i="46"/>
  <c r="H400" i="46"/>
  <c r="G121" i="46"/>
  <c r="H153" i="46"/>
  <c r="I631" i="46"/>
  <c r="E197" i="47"/>
  <c r="I52" i="48"/>
  <c r="G639" i="46"/>
  <c r="I639" i="46"/>
  <c r="I53" i="48"/>
  <c r="I49" i="48"/>
  <c r="G696" i="46"/>
  <c r="G438" i="46"/>
  <c r="G664" i="46"/>
  <c r="I664" i="46"/>
  <c r="G27" i="51"/>
  <c r="H27" i="51" s="1"/>
  <c r="G602" i="46"/>
  <c r="H250" i="46"/>
  <c r="I55" i="48"/>
  <c r="I54" i="48"/>
  <c r="H569" i="46"/>
  <c r="H456" i="46"/>
  <c r="H477" i="46"/>
  <c r="H233" i="46"/>
  <c r="I232" i="46"/>
  <c r="I236" i="46"/>
  <c r="I242" i="46"/>
  <c r="I244" i="46"/>
  <c r="I248" i="46"/>
  <c r="I254" i="46"/>
  <c r="I256" i="46"/>
  <c r="I258" i="46"/>
  <c r="I261" i="46"/>
  <c r="I262" i="46"/>
  <c r="I264" i="46"/>
  <c r="I266" i="46"/>
  <c r="I267" i="46"/>
  <c r="I268" i="46"/>
  <c r="I270" i="46"/>
  <c r="I272" i="46"/>
  <c r="I273" i="46"/>
  <c r="I274" i="46"/>
  <c r="I276" i="46"/>
  <c r="I279" i="46"/>
  <c r="I286" i="46"/>
  <c r="I288" i="46"/>
  <c r="I290" i="46"/>
  <c r="I291" i="46"/>
  <c r="H293" i="46"/>
  <c r="I292" i="46"/>
  <c r="I300" i="46"/>
  <c r="I303" i="46"/>
  <c r="I306" i="46"/>
  <c r="I308" i="46"/>
  <c r="I309" i="46"/>
  <c r="I312" i="46"/>
  <c r="I363" i="46"/>
  <c r="I405" i="46"/>
  <c r="I409" i="46"/>
  <c r="I440" i="46"/>
  <c r="I456" i="46"/>
  <c r="I461" i="46"/>
  <c r="I315" i="46"/>
  <c r="I318" i="46"/>
  <c r="I321" i="46"/>
  <c r="I326" i="46"/>
  <c r="I330" i="46"/>
  <c r="I335" i="46"/>
  <c r="I338" i="46"/>
  <c r="I339" i="46"/>
  <c r="I341" i="46"/>
  <c r="I342" i="46"/>
  <c r="I343" i="46"/>
  <c r="I344" i="46"/>
  <c r="I346" i="46"/>
  <c r="I347" i="46"/>
  <c r="I350" i="46"/>
  <c r="I351" i="46"/>
  <c r="I353" i="46"/>
  <c r="I354" i="46"/>
  <c r="I358" i="46"/>
  <c r="I359" i="46"/>
  <c r="I365" i="46"/>
  <c r="I367" i="46"/>
  <c r="I369" i="46"/>
  <c r="I411" i="46"/>
  <c r="I444" i="46"/>
  <c r="I466" i="46"/>
  <c r="I393" i="46"/>
  <c r="I48" i="48"/>
  <c r="H590" i="46"/>
  <c r="I660" i="46"/>
  <c r="I672" i="46"/>
  <c r="H151" i="46"/>
  <c r="H89" i="46"/>
  <c r="H344" i="46"/>
  <c r="I319" i="46"/>
  <c r="H319" i="46"/>
  <c r="H290" i="46"/>
  <c r="I287" i="46"/>
  <c r="H287" i="46"/>
  <c r="H210" i="46"/>
  <c r="I313" i="46"/>
  <c r="H313" i="46"/>
  <c r="H216" i="46"/>
  <c r="H199" i="46"/>
  <c r="I190" i="46"/>
  <c r="H514" i="46"/>
  <c r="H672" i="46"/>
  <c r="H556" i="46"/>
  <c r="I556" i="46"/>
  <c r="H513" i="46"/>
  <c r="I513" i="46"/>
  <c r="H655" i="46"/>
  <c r="I661" i="46"/>
  <c r="I663" i="46"/>
  <c r="I681" i="46"/>
  <c r="I581" i="46"/>
  <c r="I635" i="46"/>
  <c r="H329" i="46"/>
  <c r="I680" i="46"/>
  <c r="H506" i="46"/>
  <c r="H484" i="46"/>
  <c r="H315" i="46"/>
  <c r="I589" i="46"/>
  <c r="H581" i="46"/>
  <c r="I678" i="46"/>
  <c r="I666" i="46"/>
  <c r="I668" i="46"/>
  <c r="I658" i="46"/>
  <c r="I684" i="46"/>
  <c r="I674" i="46"/>
  <c r="H483" i="46"/>
  <c r="H667" i="46"/>
  <c r="H314" i="46"/>
  <c r="H331" i="46"/>
  <c r="H335" i="46"/>
  <c r="H670" i="46"/>
  <c r="H677" i="46"/>
  <c r="H679" i="46"/>
  <c r="H681" i="46"/>
  <c r="I665" i="46"/>
  <c r="I669" i="46"/>
  <c r="I671" i="46"/>
  <c r="I620" i="46"/>
  <c r="I612" i="46"/>
  <c r="I670" i="46"/>
  <c r="I652" i="46"/>
  <c r="I642" i="46"/>
  <c r="I561" i="46"/>
  <c r="I692" i="46"/>
  <c r="I682" i="46"/>
  <c r="I628" i="46"/>
  <c r="I433" i="46"/>
  <c r="H434" i="46"/>
  <c r="I656" i="46"/>
  <c r="I592" i="46"/>
  <c r="I676" i="46"/>
  <c r="I648" i="46"/>
  <c r="I638" i="46"/>
  <c r="H386" i="46"/>
  <c r="H387" i="46"/>
  <c r="H362" i="46"/>
  <c r="H363" i="46"/>
  <c r="I654" i="46"/>
  <c r="I646" i="46"/>
  <c r="H377" i="46"/>
  <c r="H311" i="46"/>
  <c r="H349" i="46"/>
  <c r="I376" i="46"/>
  <c r="H310" i="46"/>
  <c r="I310" i="46"/>
  <c r="H368" i="46"/>
  <c r="H332" i="46"/>
  <c r="H653" i="46"/>
  <c r="H671" i="46"/>
  <c r="I540" i="46"/>
  <c r="H692" i="46"/>
  <c r="I348" i="46"/>
  <c r="I368" i="46"/>
  <c r="I603" i="46"/>
  <c r="H615" i="46"/>
  <c r="H567" i="46"/>
  <c r="H596" i="46"/>
  <c r="I596" i="46"/>
  <c r="H531" i="46"/>
  <c r="H415" i="46"/>
  <c r="H540" i="46"/>
  <c r="H628" i="46"/>
  <c r="I627" i="46"/>
  <c r="H182" i="46"/>
  <c r="H189" i="46"/>
  <c r="H632" i="46"/>
  <c r="I633" i="46"/>
  <c r="H183" i="46"/>
  <c r="H530" i="46"/>
  <c r="H178" i="46"/>
  <c r="H184" i="46"/>
  <c r="H617" i="46"/>
  <c r="I455" i="46"/>
  <c r="H175" i="46"/>
  <c r="I366" i="46"/>
  <c r="I617" i="46"/>
  <c r="I615" i="46"/>
  <c r="I595" i="46"/>
  <c r="H629" i="46"/>
  <c r="H633" i="46"/>
  <c r="H636" i="46"/>
  <c r="H612" i="46"/>
  <c r="H447" i="46"/>
  <c r="I447" i="46"/>
  <c r="H170" i="46"/>
  <c r="H171" i="46"/>
  <c r="I609" i="46"/>
  <c r="I597" i="46"/>
  <c r="I585" i="46"/>
  <c r="H148" i="46"/>
  <c r="H174" i="46"/>
  <c r="H621" i="46"/>
  <c r="H597" i="46"/>
  <c r="H340" i="46"/>
  <c r="I340" i="46"/>
  <c r="H341" i="46"/>
  <c r="H616" i="46"/>
  <c r="I616" i="46"/>
  <c r="I611" i="46"/>
  <c r="H568" i="46"/>
  <c r="I568" i="46"/>
  <c r="H562" i="46"/>
  <c r="I562" i="46"/>
  <c r="I636" i="46"/>
  <c r="I632" i="46"/>
  <c r="H563" i="46"/>
  <c r="H598" i="46"/>
  <c r="I598" i="46"/>
  <c r="H398" i="46"/>
  <c r="I398" i="46"/>
  <c r="H399" i="46"/>
  <c r="I576" i="46"/>
  <c r="H618" i="46"/>
  <c r="H582" i="46"/>
  <c r="I582" i="46"/>
  <c r="H570" i="46"/>
  <c r="I570" i="46"/>
  <c r="H586" i="46"/>
  <c r="I586" i="46"/>
  <c r="I574" i="46"/>
  <c r="I189" i="46"/>
  <c r="H149" i="46"/>
  <c r="H366" i="46"/>
  <c r="H163" i="46"/>
  <c r="I536" i="46"/>
  <c r="I410" i="46"/>
  <c r="H455" i="46"/>
  <c r="H435" i="46"/>
  <c r="I400" i="46"/>
  <c r="H436" i="46"/>
  <c r="H414" i="46"/>
  <c r="I414" i="46"/>
  <c r="H401" i="46"/>
  <c r="H370" i="46"/>
  <c r="I372" i="46"/>
  <c r="H373" i="46"/>
  <c r="H372" i="46"/>
  <c r="H411" i="46"/>
  <c r="H410" i="46"/>
  <c r="H367" i="46"/>
  <c r="I250" i="46"/>
  <c r="H518" i="46"/>
  <c r="I518" i="46"/>
  <c r="H537" i="46"/>
  <c r="H536" i="46"/>
  <c r="I687" i="46"/>
  <c r="I689" i="46"/>
  <c r="H480" i="46"/>
  <c r="H479" i="46"/>
  <c r="H478" i="46"/>
  <c r="I477" i="46"/>
  <c r="I479" i="46"/>
  <c r="H519" i="46"/>
  <c r="H251" i="46"/>
  <c r="H44" i="46"/>
  <c r="G280" i="46"/>
  <c r="G282" i="46"/>
  <c r="H202" i="46"/>
  <c r="O53" i="47"/>
  <c r="P53" i="47"/>
  <c r="H680" i="46"/>
  <c r="H684" i="46"/>
  <c r="H669" i="46"/>
  <c r="F277" i="47"/>
  <c r="H376" i="46"/>
  <c r="I21" i="46"/>
  <c r="I25" i="46"/>
  <c r="H637" i="46"/>
  <c r="I704" i="46"/>
  <c r="I31" i="46"/>
  <c r="I33" i="46"/>
  <c r="I35" i="46"/>
  <c r="I37" i="46"/>
  <c r="C10" i="50"/>
  <c r="H38" i="46"/>
  <c r="I38" i="46"/>
  <c r="I39" i="46"/>
  <c r="I42" i="46"/>
  <c r="H43" i="46"/>
  <c r="I45" i="46"/>
  <c r="E3" i="50"/>
  <c r="O69" i="47"/>
  <c r="P69" i="47"/>
  <c r="I47" i="46"/>
  <c r="I49" i="46"/>
  <c r="I50" i="46"/>
  <c r="I51" i="46"/>
  <c r="I54" i="46"/>
  <c r="I55" i="46"/>
  <c r="I57" i="46"/>
  <c r="I59" i="46"/>
  <c r="I60" i="46"/>
  <c r="I61" i="46"/>
  <c r="I62" i="46"/>
  <c r="I63" i="46"/>
  <c r="O58" i="47"/>
  <c r="P58" i="47"/>
  <c r="D18" i="51"/>
  <c r="M71" i="47"/>
  <c r="O71" i="47"/>
  <c r="P71" i="47"/>
  <c r="F214" i="47"/>
  <c r="F265" i="47"/>
  <c r="O57" i="47"/>
  <c r="P57" i="47"/>
  <c r="D2" i="51"/>
  <c r="M73" i="47"/>
  <c r="O73" i="47"/>
  <c r="P73" i="47"/>
  <c r="M61" i="47"/>
  <c r="O61" i="47"/>
  <c r="P61" i="47"/>
  <c r="G278" i="46"/>
  <c r="O70" i="47"/>
  <c r="P70" i="47"/>
  <c r="I18" i="46"/>
  <c r="I24" i="46"/>
  <c r="I27" i="46"/>
  <c r="H190" i="46"/>
  <c r="I705" i="46"/>
  <c r="I69" i="46"/>
  <c r="I78" i="46"/>
  <c r="I85" i="46"/>
  <c r="O60" i="47"/>
  <c r="P60" i="47"/>
  <c r="O68" i="47"/>
  <c r="P68" i="47"/>
  <c r="F336" i="47"/>
  <c r="E336" i="47"/>
  <c r="L27" i="47"/>
  <c r="E12" i="45"/>
  <c r="H28" i="46"/>
  <c r="I53" i="46"/>
  <c r="H4" i="46"/>
  <c r="I4" i="46"/>
  <c r="I40" i="46"/>
  <c r="G283" i="46"/>
  <c r="G402" i="46"/>
  <c r="O65" i="47"/>
  <c r="P65" i="47"/>
  <c r="H668" i="46"/>
  <c r="H42" i="46"/>
  <c r="I75" i="46"/>
  <c r="I87" i="46"/>
  <c r="F349" i="47"/>
  <c r="E349" i="47"/>
  <c r="L25" i="47"/>
  <c r="E15" i="45"/>
  <c r="O62" i="47"/>
  <c r="P62" i="47"/>
  <c r="G716" i="46"/>
  <c r="I716" i="46"/>
  <c r="G706" i="46"/>
  <c r="F6" i="48"/>
  <c r="F7" i="48"/>
  <c r="F8" i="48"/>
  <c r="F9" i="48"/>
  <c r="F10" i="48"/>
  <c r="F11" i="48"/>
  <c r="F12" i="48"/>
  <c r="F13" i="48"/>
  <c r="F14" i="48"/>
  <c r="F15" i="48"/>
  <c r="F16" i="48"/>
  <c r="F17" i="48"/>
  <c r="F18" i="48"/>
  <c r="F19" i="48"/>
  <c r="F20" i="48"/>
  <c r="F21" i="48"/>
  <c r="F22" i="48"/>
  <c r="F23" i="48"/>
  <c r="F24" i="48"/>
  <c r="F25" i="48"/>
  <c r="F26" i="48"/>
  <c r="F27" i="48"/>
  <c r="F28" i="48"/>
  <c r="F29" i="48"/>
  <c r="F30" i="48"/>
  <c r="F31" i="48"/>
  <c r="H406" i="46"/>
  <c r="O59" i="47"/>
  <c r="P59" i="47"/>
  <c r="E342" i="47"/>
  <c r="F294" i="47"/>
  <c r="E258" i="47"/>
  <c r="F300" i="47"/>
  <c r="F310" i="47"/>
  <c r="E374" i="47"/>
  <c r="L23" i="47"/>
  <c r="E16" i="45"/>
  <c r="G623" i="46"/>
  <c r="G640" i="46"/>
  <c r="G644" i="46"/>
  <c r="E354" i="47"/>
  <c r="L16" i="47"/>
  <c r="E13" i="45"/>
  <c r="I71" i="46"/>
  <c r="I83" i="46"/>
  <c r="I139" i="46"/>
  <c r="I28" i="46"/>
  <c r="I76" i="46"/>
  <c r="H40" i="46"/>
  <c r="G709" i="46"/>
  <c r="G695" i="46"/>
  <c r="G238" i="46"/>
  <c r="G659" i="46"/>
  <c r="G651" i="46"/>
  <c r="H227" i="46"/>
  <c r="G352" i="46"/>
  <c r="G356" i="46"/>
  <c r="G384" i="46"/>
  <c r="O64" i="47"/>
  <c r="P64" i="47"/>
  <c r="E283" i="47"/>
  <c r="I67" i="46"/>
  <c r="I73" i="46"/>
  <c r="I81" i="46"/>
  <c r="F359" i="47"/>
  <c r="E359" i="47" s="1"/>
  <c r="L4" i="47" s="1"/>
  <c r="E14" i="45" s="1"/>
  <c r="E272" i="47"/>
  <c r="L15" i="47" s="1"/>
  <c r="E10" i="45" s="1"/>
  <c r="K26" i="47"/>
  <c r="O54" i="47"/>
  <c r="P54" i="47"/>
  <c r="O63" i="47"/>
  <c r="P63" i="47" s="1"/>
  <c r="I90" i="46"/>
  <c r="I93" i="46"/>
  <c r="I95" i="46"/>
  <c r="I97" i="46"/>
  <c r="I99" i="46"/>
  <c r="I100" i="46"/>
  <c r="I102" i="46"/>
  <c r="I103" i="46"/>
  <c r="I105" i="46"/>
  <c r="I107" i="46"/>
  <c r="I109" i="46"/>
  <c r="I110" i="46"/>
  <c r="I111" i="46"/>
  <c r="H114" i="46"/>
  <c r="I114" i="46"/>
  <c r="I117" i="46"/>
  <c r="I119" i="46"/>
  <c r="I123" i="46"/>
  <c r="I126" i="46"/>
  <c r="I127" i="46"/>
  <c r="I129" i="46"/>
  <c r="I131" i="46"/>
  <c r="I133" i="46"/>
  <c r="I134" i="46"/>
  <c r="I135" i="46"/>
  <c r="I138" i="46"/>
  <c r="I141" i="46"/>
  <c r="I143" i="46"/>
  <c r="I145" i="46"/>
  <c r="I146" i="46"/>
  <c r="I147" i="46"/>
  <c r="I159" i="46"/>
  <c r="I165" i="46"/>
  <c r="I171" i="46"/>
  <c r="I180" i="46"/>
  <c r="I181" i="46"/>
  <c r="G191" i="46"/>
  <c r="H198" i="46"/>
  <c r="H203" i="46"/>
  <c r="G205" i="46"/>
  <c r="I206" i="46"/>
  <c r="H207" i="46"/>
  <c r="H209" i="46"/>
  <c r="H213" i="46"/>
  <c r="H229" i="46"/>
  <c r="H444" i="46"/>
  <c r="I446" i="46"/>
  <c r="G453" i="46"/>
  <c r="G457" i="46"/>
  <c r="G459" i="46"/>
  <c r="G465" i="46"/>
  <c r="H468" i="46"/>
  <c r="I470" i="46"/>
  <c r="I472" i="46"/>
  <c r="I579" i="46"/>
  <c r="E4" i="45"/>
  <c r="H35" i="44"/>
  <c r="H150" i="46"/>
  <c r="I150" i="46"/>
  <c r="I153" i="46"/>
  <c r="I155" i="46"/>
  <c r="I157" i="46"/>
  <c r="I160" i="46"/>
  <c r="I166" i="46"/>
  <c r="I167" i="46"/>
  <c r="I175" i="46"/>
  <c r="I177" i="46"/>
  <c r="C4" i="45"/>
  <c r="F4" i="45" s="1"/>
  <c r="E7" i="45"/>
  <c r="C13" i="45"/>
  <c r="F13" i="45" s="1"/>
  <c r="E3" i="45"/>
  <c r="E254" i="47"/>
  <c r="C2" i="45"/>
  <c r="E2" i="45"/>
  <c r="F2" i="45" s="1"/>
  <c r="F2" i="50"/>
  <c r="M74" i="47"/>
  <c r="O74" i="47"/>
  <c r="P74" i="47" s="1"/>
  <c r="F197" i="47"/>
  <c r="I700" i="46"/>
  <c r="I702" i="46"/>
  <c r="I697" i="46"/>
  <c r="I701" i="46"/>
  <c r="I703" i="46"/>
  <c r="I699" i="46"/>
  <c r="I698" i="46"/>
  <c r="I693" i="46"/>
  <c r="I694" i="46"/>
  <c r="F326" i="47"/>
  <c r="F289" i="47"/>
  <c r="O55" i="47"/>
  <c r="P55" i="47"/>
  <c r="I493" i="46"/>
  <c r="I421" i="46"/>
  <c r="H422" i="46"/>
  <c r="I173" i="46"/>
  <c r="I406" i="46"/>
  <c r="H350" i="46"/>
  <c r="H351" i="46"/>
  <c r="I142" i="46"/>
  <c r="I12" i="46"/>
  <c r="H12" i="46"/>
  <c r="I112" i="46"/>
  <c r="I164" i="46"/>
  <c r="I106" i="46"/>
  <c r="H5" i="46"/>
  <c r="I5" i="46"/>
  <c r="H34" i="46"/>
  <c r="I34" i="46"/>
  <c r="I77" i="46"/>
  <c r="I125" i="46"/>
  <c r="I96" i="46"/>
  <c r="I169" i="46"/>
  <c r="I137" i="46"/>
  <c r="I72" i="46"/>
  <c r="I30" i="46"/>
  <c r="H30" i="46"/>
  <c r="I124" i="46"/>
  <c r="I118" i="46"/>
  <c r="I65" i="46"/>
  <c r="I156" i="46"/>
  <c r="I108" i="46"/>
  <c r="I52" i="46"/>
  <c r="I36" i="46"/>
  <c r="H36" i="46"/>
  <c r="I168" i="46"/>
  <c r="I149" i="46"/>
  <c r="I136" i="46"/>
  <c r="I91" i="46"/>
  <c r="I64" i="46"/>
  <c r="I179" i="46"/>
  <c r="I94" i="46"/>
  <c r="I74" i="46"/>
  <c r="I115" i="46"/>
  <c r="I84" i="46"/>
  <c r="I86" i="46"/>
  <c r="I70" i="46"/>
  <c r="H7" i="46"/>
  <c r="I7" i="46"/>
  <c r="I151" i="46"/>
  <c r="I89" i="46"/>
  <c r="H23" i="46"/>
  <c r="I23" i="46"/>
  <c r="H10" i="46"/>
  <c r="I10" i="46"/>
  <c r="I154" i="46"/>
  <c r="I120" i="46"/>
  <c r="I98" i="46"/>
  <c r="I48" i="46"/>
  <c r="H16" i="46"/>
  <c r="I16" i="46"/>
  <c r="I163" i="46"/>
  <c r="I79" i="46"/>
  <c r="I66" i="46"/>
  <c r="H19" i="46"/>
  <c r="I19" i="46"/>
  <c r="I113" i="46"/>
  <c r="I88" i="46"/>
  <c r="I82" i="46"/>
  <c r="H41" i="46"/>
  <c r="I41" i="46"/>
  <c r="H22" i="46"/>
  <c r="I22" i="46"/>
  <c r="H6" i="46"/>
  <c r="I183" i="46"/>
  <c r="H11" i="46"/>
  <c r="H32" i="46"/>
  <c r="I130" i="46"/>
  <c r="I101" i="46"/>
  <c r="I58" i="46"/>
  <c r="H29" i="46"/>
  <c r="I29" i="46"/>
  <c r="I26" i="46"/>
  <c r="I43" i="46"/>
  <c r="H35" i="46"/>
  <c r="H20" i="46"/>
  <c r="I46" i="46"/>
  <c r="H17" i="46"/>
  <c r="I17" i="46"/>
  <c r="H33" i="46"/>
  <c r="H21" i="46"/>
  <c r="H9" i="46"/>
  <c r="I152" i="46"/>
  <c r="I140" i="46"/>
  <c r="I116" i="46"/>
  <c r="I104" i="46"/>
  <c r="I92" i="46"/>
  <c r="I80" i="46"/>
  <c r="I68" i="46"/>
  <c r="I56" i="46"/>
  <c r="I44" i="46"/>
  <c r="I32" i="46"/>
  <c r="I20" i="46"/>
  <c r="I8" i="46"/>
  <c r="H37" i="46"/>
  <c r="H25" i="46"/>
  <c r="H13" i="46"/>
  <c r="H39" i="46"/>
  <c r="H27" i="46"/>
  <c r="H15" i="46"/>
  <c r="G711" i="46"/>
  <c r="G710" i="46"/>
  <c r="I708" i="46"/>
  <c r="G707" i="46"/>
  <c r="I673" i="46"/>
  <c r="I675" i="46"/>
  <c r="I679" i="46"/>
  <c r="I193" i="46"/>
  <c r="H371" i="46"/>
  <c r="H129" i="46"/>
  <c r="H194" i="46"/>
  <c r="I122" i="46"/>
  <c r="H196" i="46"/>
  <c r="H193" i="46"/>
  <c r="H195" i="46"/>
  <c r="I314" i="46"/>
  <c r="I322" i="46"/>
  <c r="I328" i="46"/>
  <c r="I331" i="46"/>
  <c r="I334" i="46"/>
  <c r="I483" i="46"/>
  <c r="I505" i="46"/>
  <c r="H323" i="46"/>
  <c r="I144" i="46"/>
  <c r="H144" i="46"/>
  <c r="H123" i="46"/>
  <c r="I201" i="46"/>
  <c r="I195" i="46"/>
  <c r="I128" i="46"/>
  <c r="H145" i="46"/>
  <c r="I607" i="46"/>
  <c r="H685" i="46"/>
  <c r="H334" i="46"/>
  <c r="I522" i="46"/>
  <c r="I530" i="46"/>
  <c r="H638" i="46"/>
  <c r="H627" i="46"/>
  <c r="I662" i="46"/>
  <c r="H523" i="46"/>
  <c r="H522" i="46"/>
  <c r="H647" i="46"/>
  <c r="H646" i="46"/>
  <c r="H649" i="46"/>
  <c r="H650" i="46"/>
  <c r="H658" i="46"/>
  <c r="H657" i="46"/>
  <c r="H666" i="46"/>
  <c r="H674" i="46"/>
  <c r="H673" i="46"/>
  <c r="H683" i="46"/>
  <c r="H682" i="46"/>
  <c r="H642" i="46"/>
  <c r="H662" i="46"/>
  <c r="H661" i="46"/>
  <c r="H663" i="46"/>
  <c r="I653" i="46"/>
  <c r="I657" i="46"/>
  <c r="I386" i="46"/>
  <c r="I641" i="46"/>
  <c r="I645" i="46"/>
  <c r="I649" i="46"/>
  <c r="I362" i="46"/>
  <c r="I332" i="46"/>
  <c r="H561" i="46"/>
  <c r="H693" i="46"/>
  <c r="I174" i="46"/>
  <c r="I182" i="46"/>
  <c r="I184" i="46"/>
  <c r="I178" i="46"/>
  <c r="I170" i="46"/>
  <c r="I148" i="46"/>
  <c r="I162" i="46"/>
  <c r="G714" i="46"/>
  <c r="G715" i="46"/>
  <c r="G713" i="46"/>
  <c r="I712" i="46"/>
  <c r="H712" i="46"/>
  <c r="E44" i="48"/>
  <c r="L21" i="47"/>
  <c r="O76" i="47"/>
  <c r="H121" i="46"/>
  <c r="I121" i="46"/>
  <c r="H697" i="46"/>
  <c r="I696" i="46"/>
  <c r="F32" i="48"/>
  <c r="C61" i="48"/>
  <c r="I717" i="46"/>
  <c r="H717" i="46"/>
  <c r="H321" i="46"/>
  <c r="H320" i="46"/>
  <c r="I320" i="46"/>
  <c r="H432" i="46"/>
  <c r="I432" i="46"/>
  <c r="I460" i="46"/>
  <c r="H461" i="46"/>
  <c r="I364" i="46"/>
  <c r="H364" i="46"/>
  <c r="H365" i="46"/>
  <c r="H412" i="46"/>
  <c r="H413" i="46"/>
  <c r="I412" i="46"/>
  <c r="H417" i="46"/>
  <c r="H416" i="46"/>
  <c r="I416" i="46"/>
  <c r="H418" i="46"/>
  <c r="I418" i="46"/>
  <c r="H419" i="46"/>
  <c r="I425" i="46"/>
  <c r="H425" i="46"/>
  <c r="H426" i="46"/>
  <c r="I437" i="46"/>
  <c r="H437" i="46"/>
  <c r="I441" i="46"/>
  <c r="H442" i="46"/>
  <c r="H441" i="46"/>
  <c r="I613" i="46"/>
  <c r="H614" i="46"/>
  <c r="I619" i="46"/>
  <c r="H619" i="46"/>
  <c r="H573" i="46"/>
  <c r="I573" i="46"/>
  <c r="H601" i="46"/>
  <c r="I601" i="46"/>
  <c r="H507" i="46"/>
  <c r="I448" i="46"/>
  <c r="H688" i="46"/>
  <c r="H690" i="46"/>
  <c r="H607" i="46"/>
  <c r="I176" i="46"/>
  <c r="H603" i="46"/>
  <c r="H630" i="46"/>
  <c r="H587" i="46"/>
  <c r="H599" i="46"/>
  <c r="H634" i="46"/>
  <c r="H575" i="46"/>
  <c r="H448" i="46"/>
  <c r="H611" i="46"/>
  <c r="H588" i="46"/>
  <c r="I588" i="46"/>
  <c r="H576" i="46"/>
  <c r="I606" i="46"/>
  <c r="I577" i="46"/>
  <c r="H589" i="46"/>
  <c r="H577" i="46"/>
  <c r="H687" i="46"/>
  <c r="H689" i="46"/>
  <c r="H532" i="46"/>
  <c r="I532" i="46"/>
  <c r="I507" i="46"/>
  <c r="H591" i="46"/>
  <c r="H578" i="46"/>
  <c r="H420" i="46"/>
  <c r="I686" i="46"/>
  <c r="H708" i="46"/>
  <c r="I172" i="46"/>
  <c r="H173" i="46"/>
  <c r="H508" i="46"/>
  <c r="H691" i="46"/>
  <c r="H609" i="46"/>
  <c r="H584" i="46"/>
  <c r="I584" i="46"/>
  <c r="H622" i="46"/>
  <c r="I690" i="46"/>
  <c r="H538" i="46"/>
  <c r="H526" i="46"/>
  <c r="I688" i="46"/>
  <c r="H533" i="46"/>
  <c r="H521" i="46"/>
  <c r="H132" i="46"/>
  <c r="H133" i="46"/>
  <c r="H449" i="46"/>
  <c r="H450" i="46"/>
  <c r="I449" i="46"/>
  <c r="H539" i="46"/>
  <c r="I538" i="46"/>
  <c r="H527" i="46"/>
  <c r="I526" i="46"/>
  <c r="I534" i="46"/>
  <c r="H535" i="46"/>
  <c r="H534" i="46"/>
  <c r="I520" i="46"/>
  <c r="H520" i="46"/>
  <c r="I524" i="46"/>
  <c r="H525" i="46"/>
  <c r="H524" i="46"/>
  <c r="H547" i="46"/>
  <c r="I546" i="46"/>
  <c r="H546" i="46"/>
  <c r="H595" i="46"/>
  <c r="H421" i="46"/>
  <c r="H625" i="46"/>
  <c r="H620" i="46"/>
  <c r="H608" i="46"/>
  <c r="I608" i="46"/>
  <c r="H572" i="46"/>
  <c r="I624" i="46"/>
  <c r="H610" i="46"/>
  <c r="I610" i="46"/>
  <c r="H600" i="46"/>
  <c r="I634" i="46"/>
  <c r="I599" i="46"/>
  <c r="H592" i="46"/>
  <c r="I587" i="46"/>
  <c r="H606" i="46"/>
  <c r="H594" i="46"/>
  <c r="I593" i="46"/>
  <c r="H593" i="46"/>
  <c r="H172" i="46"/>
  <c r="H158" i="46"/>
  <c r="H159" i="46"/>
  <c r="H177" i="46"/>
  <c r="H176" i="46"/>
  <c r="I571" i="46"/>
  <c r="H571" i="46"/>
  <c r="I605" i="46"/>
  <c r="H605" i="46"/>
  <c r="H583" i="46"/>
  <c r="H631" i="46"/>
  <c r="H604" i="46"/>
  <c r="I575" i="46"/>
  <c r="H574" i="46"/>
  <c r="H652" i="46"/>
  <c r="H641" i="46"/>
  <c r="I625" i="46"/>
  <c r="H635" i="46"/>
  <c r="I132" i="46"/>
  <c r="H613" i="46"/>
  <c r="H585" i="46"/>
  <c r="H433" i="46"/>
  <c r="I158" i="46"/>
  <c r="H720" i="46"/>
  <c r="I720" i="46"/>
  <c r="I719" i="46"/>
  <c r="H719" i="46"/>
  <c r="H161" i="46"/>
  <c r="H162" i="46"/>
  <c r="H200" i="46"/>
  <c r="I200" i="46"/>
  <c r="H219" i="46"/>
  <c r="I218" i="46"/>
  <c r="H218" i="46"/>
  <c r="H438" i="46"/>
  <c r="H439" i="46"/>
  <c r="I438" i="46"/>
  <c r="H602" i="46"/>
  <c r="I602" i="46"/>
  <c r="E10" i="50"/>
  <c r="D10" i="50"/>
  <c r="K27" i="51"/>
  <c r="I161" i="46"/>
  <c r="H122" i="46"/>
  <c r="H201" i="46"/>
  <c r="H639" i="46"/>
  <c r="H665" i="46"/>
  <c r="H664" i="46"/>
  <c r="I280" i="46"/>
  <c r="H281" i="46"/>
  <c r="H280" i="46"/>
  <c r="I282" i="46"/>
  <c r="H282" i="46"/>
  <c r="F46" i="51"/>
  <c r="H279" i="46"/>
  <c r="H278" i="46"/>
  <c r="I278" i="46"/>
  <c r="H283" i="46"/>
  <c r="H284" i="46"/>
  <c r="I283" i="46"/>
  <c r="I402" i="46"/>
  <c r="H402" i="46"/>
  <c r="H403" i="46"/>
  <c r="H706" i="46"/>
  <c r="I706" i="46"/>
  <c r="L26" i="47"/>
  <c r="L13" i="47"/>
  <c r="E18" i="45"/>
  <c r="H624" i="46"/>
  <c r="I623" i="46"/>
  <c r="H623" i="46"/>
  <c r="I640" i="46"/>
  <c r="H640" i="46"/>
  <c r="H645" i="46"/>
  <c r="I644" i="46"/>
  <c r="H644" i="46"/>
  <c r="I709" i="46"/>
  <c r="H709" i="46"/>
  <c r="H695" i="46"/>
  <c r="H696" i="46"/>
  <c r="I695" i="46"/>
  <c r="H239" i="46"/>
  <c r="H238" i="46"/>
  <c r="I238" i="46"/>
  <c r="H660" i="46"/>
  <c r="I659" i="46"/>
  <c r="H659" i="46"/>
  <c r="H651" i="46"/>
  <c r="I651" i="46"/>
  <c r="I352" i="46"/>
  <c r="H352" i="46"/>
  <c r="H353" i="46"/>
  <c r="H356" i="46"/>
  <c r="H357" i="46"/>
  <c r="I356" i="46"/>
  <c r="H385" i="46"/>
  <c r="I384" i="46"/>
  <c r="H384" i="46"/>
  <c r="I191" i="46"/>
  <c r="H192" i="46"/>
  <c r="H191" i="46"/>
  <c r="I205" i="46"/>
  <c r="H205" i="46"/>
  <c r="H206" i="46"/>
  <c r="H454" i="46"/>
  <c r="I453" i="46"/>
  <c r="H453" i="46"/>
  <c r="H457" i="46"/>
  <c r="I457" i="46"/>
  <c r="H458" i="46"/>
  <c r="H459" i="46"/>
  <c r="H460" i="46"/>
  <c r="I459" i="46"/>
  <c r="I465" i="46"/>
  <c r="H466" i="46"/>
  <c r="H465" i="46"/>
  <c r="H711" i="46"/>
  <c r="I711" i="46"/>
  <c r="H710" i="46"/>
  <c r="I710" i="46"/>
  <c r="H707" i="46"/>
  <c r="I707" i="46"/>
  <c r="F3" i="50"/>
  <c r="F4" i="50"/>
  <c r="D46" i="51"/>
  <c r="H714" i="46"/>
  <c r="I714" i="46"/>
  <c r="H715" i="46"/>
  <c r="H716" i="46"/>
  <c r="I715" i="46"/>
  <c r="I713" i="46"/>
  <c r="H713" i="46"/>
  <c r="P76" i="47"/>
  <c r="F6" i="51"/>
  <c r="H10" i="44"/>
  <c r="F7" i="51"/>
  <c r="F40" i="51"/>
  <c r="H28" i="44"/>
  <c r="F32" i="51"/>
  <c r="F10" i="51"/>
  <c r="H12" i="44"/>
  <c r="F25" i="51"/>
  <c r="H23" i="44"/>
  <c r="F36" i="51"/>
  <c r="F41" i="51"/>
  <c r="F37" i="51"/>
  <c r="H32" i="44"/>
  <c r="F33" i="51"/>
  <c r="H29" i="44"/>
  <c r="F11" i="51"/>
  <c r="F23" i="51"/>
  <c r="H22" i="44"/>
  <c r="F5" i="51"/>
  <c r="H9" i="44"/>
  <c r="F9" i="51"/>
  <c r="H11" i="44"/>
  <c r="F15" i="51"/>
  <c r="H15" i="44"/>
  <c r="H16" i="44" s="1"/>
  <c r="F31" i="51"/>
  <c r="F35" i="51"/>
  <c r="H31" i="44"/>
  <c r="F39" i="51"/>
  <c r="F24" i="51"/>
  <c r="H21" i="44"/>
  <c r="F28" i="51"/>
  <c r="H27" i="44"/>
  <c r="F4" i="51"/>
  <c r="F8" i="51"/>
  <c r="F34" i="51"/>
  <c r="H30" i="44"/>
  <c r="F38" i="51"/>
  <c r="F42" i="51"/>
  <c r="F14" i="51"/>
  <c r="F27" i="51"/>
  <c r="F20" i="51"/>
  <c r="H18" i="44"/>
  <c r="H19" i="44" s="1"/>
  <c r="F26" i="51"/>
  <c r="F29" i="51"/>
  <c r="F43" i="51"/>
  <c r="F21" i="51"/>
  <c r="H8" i="44"/>
  <c r="F12" i="51"/>
  <c r="F16" i="51"/>
  <c r="M30" i="51"/>
  <c r="K42" i="51"/>
  <c r="G42" i="51"/>
  <c r="G36" i="51"/>
  <c r="K36" i="51"/>
  <c r="K32" i="51"/>
  <c r="G32" i="51"/>
  <c r="G8" i="51"/>
  <c r="K8" i="51"/>
  <c r="K7" i="51"/>
  <c r="G7" i="51"/>
  <c r="H736" i="46"/>
  <c r="I736" i="46"/>
  <c r="I737" i="46"/>
  <c r="H737" i="46"/>
  <c r="I734" i="46"/>
  <c r="H734" i="46"/>
  <c r="H735" i="46"/>
  <c r="F12" i="45"/>
  <c r="F15" i="45"/>
  <c r="F5" i="45" l="1"/>
  <c r="F18" i="45"/>
  <c r="E27" i="51"/>
  <c r="I27" i="51" s="1"/>
  <c r="C27" i="51" s="1" a="1"/>
  <c r="F8" i="45"/>
  <c r="F7" i="45"/>
  <c r="F3" i="45"/>
  <c r="F10" i="45"/>
  <c r="F11" i="45"/>
  <c r="F14" i="45"/>
  <c r="F16" i="45"/>
  <c r="P67" i="47"/>
  <c r="M79" i="47"/>
  <c r="F331" i="47"/>
  <c r="K17" i="47"/>
  <c r="C6" i="45" s="1"/>
  <c r="N75" i="47"/>
  <c r="F369" i="47"/>
  <c r="F101" i="47"/>
  <c r="F102" i="47" s="1"/>
  <c r="F117" i="47" s="1"/>
  <c r="G45" i="51"/>
  <c r="F147" i="47"/>
  <c r="E147" i="47" s="1"/>
  <c r="L17" i="47" s="1"/>
  <c r="E6" i="45" s="1"/>
  <c r="M82" i="47"/>
  <c r="O82" i="47" s="1"/>
  <c r="P82" i="47" s="1"/>
  <c r="E364" i="47"/>
  <c r="L28" i="47" s="1"/>
  <c r="K28" i="47"/>
  <c r="I753" i="46"/>
  <c r="H753" i="46"/>
  <c r="H24" i="44"/>
  <c r="H11" i="51"/>
  <c r="E11" i="51"/>
  <c r="I11" i="51" s="1"/>
  <c r="C11" i="51" s="1" a="1"/>
  <c r="D23" i="45"/>
  <c r="G3" i="44"/>
  <c r="H3" i="44" s="1"/>
  <c r="D22" i="45"/>
  <c r="H13" i="44"/>
  <c r="F33" i="44"/>
  <c r="F24" i="44"/>
  <c r="F13" i="44"/>
  <c r="H33" i="44"/>
  <c r="E42" i="51"/>
  <c r="I42" i="51" s="1"/>
  <c r="C42" i="51" s="1" a="1"/>
  <c r="H42" i="51"/>
  <c r="H36" i="51"/>
  <c r="E36" i="51"/>
  <c r="I36" i="51" s="1"/>
  <c r="C36" i="51" s="1" a="1"/>
  <c r="H32" i="51"/>
  <c r="E32" i="51"/>
  <c r="I32" i="51" s="1"/>
  <c r="C32" i="51" s="1" a="1"/>
  <c r="E8" i="51"/>
  <c r="I8" i="51" s="1"/>
  <c r="C8" i="51" s="1" a="1"/>
  <c r="H8" i="51"/>
  <c r="E7" i="51"/>
  <c r="I7" i="51" s="1"/>
  <c r="C7" i="51" s="1" a="1"/>
  <c r="H7" i="51"/>
  <c r="E14" i="51"/>
  <c r="I14" i="51" s="1"/>
  <c r="C14" i="51" s="1" a="1"/>
  <c r="H14" i="51"/>
  <c r="H26" i="51"/>
  <c r="E26" i="51"/>
  <c r="I26" i="51" s="1"/>
  <c r="C26" i="51" s="1" a="1"/>
  <c r="H31" i="51"/>
  <c r="E31" i="51"/>
  <c r="I31" i="51" s="1"/>
  <c r="C31" i="51" s="1" a="1"/>
  <c r="E39" i="51"/>
  <c r="I39" i="51" s="1"/>
  <c r="C39" i="51" s="1" a="1"/>
  <c r="H39" i="51"/>
  <c r="E41" i="51"/>
  <c r="I41" i="51" s="1"/>
  <c r="C41" i="51" s="1" a="1"/>
  <c r="H41" i="51"/>
  <c r="F6" i="45" l="1"/>
  <c r="F19" i="45" s="1"/>
  <c r="M93" i="47"/>
  <c r="O79" i="47"/>
  <c r="P79" i="47" s="1"/>
  <c r="N93" i="47"/>
  <c r="O75" i="47"/>
  <c r="H45" i="51"/>
  <c r="I35" i="44"/>
  <c r="J35" i="44" s="1"/>
  <c r="E45" i="51"/>
  <c r="H36" i="44"/>
  <c r="D3" i="44"/>
  <c r="D4" i="44"/>
  <c r="F36" i="44"/>
  <c r="O93" i="47" l="1"/>
  <c r="P93" i="47" s="1"/>
  <c r="P75" i="47"/>
  <c r="I45" i="51"/>
  <c r="C45" i="51" s="1" a="1"/>
  <c r="E35" i="44" s="1"/>
  <c r="G35" i="44"/>
  <c r="F109" i="54" l="1"/>
  <c r="D109" i="54"/>
  <c r="C109" i="54"/>
  <c r="F108" i="54"/>
  <c r="D108" i="54"/>
  <c r="C108" i="54"/>
  <c r="F107" i="54"/>
  <c r="D107" i="54"/>
  <c r="C107" i="54"/>
  <c r="F106" i="54"/>
  <c r="D106" i="54"/>
  <c r="C106" i="54"/>
  <c r="F105" i="54"/>
  <c r="D105" i="54"/>
  <c r="C105" i="54"/>
  <c r="F104" i="54"/>
  <c r="D104" i="54"/>
  <c r="C104" i="54"/>
  <c r="F103" i="54"/>
  <c r="D103" i="54"/>
  <c r="C103" i="54"/>
  <c r="F102" i="54"/>
  <c r="D102" i="54"/>
  <c r="C102" i="54"/>
  <c r="F101" i="54"/>
  <c r="D101" i="54"/>
  <c r="C101" i="54"/>
  <c r="E101" i="54" s="1"/>
  <c r="F100" i="54"/>
  <c r="D100" i="54"/>
  <c r="C100" i="54"/>
  <c r="E100" i="54" s="1"/>
  <c r="F99" i="54"/>
  <c r="D99" i="54"/>
  <c r="C99" i="54"/>
  <c r="F98" i="54"/>
  <c r="D98" i="54"/>
  <c r="C98" i="54"/>
  <c r="F97" i="54"/>
  <c r="D97" i="54"/>
  <c r="C97" i="54"/>
  <c r="F96" i="54"/>
  <c r="D96" i="54"/>
  <c r="C96" i="54"/>
  <c r="F95" i="54"/>
  <c r="D95" i="54"/>
  <c r="C95" i="54"/>
  <c r="E95" i="54" s="1"/>
  <c r="F94" i="54"/>
  <c r="D94" i="54"/>
  <c r="C94" i="54"/>
  <c r="F93" i="54"/>
  <c r="D93" i="54"/>
  <c r="C93" i="54"/>
  <c r="F92" i="54"/>
  <c r="D92" i="54"/>
  <c r="C92" i="54"/>
  <c r="F91" i="54"/>
  <c r="D91" i="54"/>
  <c r="C91" i="54"/>
  <c r="E91" i="54" s="1"/>
  <c r="F90" i="54"/>
  <c r="D90" i="54"/>
  <c r="C90" i="54"/>
  <c r="F89" i="54"/>
  <c r="D89" i="54"/>
  <c r="C89" i="54"/>
  <c r="E89" i="54" s="1"/>
  <c r="F88" i="54"/>
  <c r="D88" i="54"/>
  <c r="C88" i="54"/>
  <c r="F87" i="54"/>
  <c r="D87" i="54"/>
  <c r="C87" i="54"/>
  <c r="E87" i="54" s="1"/>
  <c r="A87" i="54"/>
  <c r="F86" i="54"/>
  <c r="D86" i="54"/>
  <c r="C86" i="54"/>
  <c r="A86" i="54"/>
  <c r="F85" i="54"/>
  <c r="D85" i="54"/>
  <c r="C85" i="54"/>
  <c r="A85" i="54"/>
  <c r="F84" i="54"/>
  <c r="D84" i="54"/>
  <c r="C84" i="54"/>
  <c r="A84" i="54"/>
  <c r="F83" i="54"/>
  <c r="D83" i="54"/>
  <c r="C83" i="54"/>
  <c r="A83" i="54"/>
  <c r="F82" i="54"/>
  <c r="D82" i="54"/>
  <c r="C82" i="54"/>
  <c r="A82" i="54"/>
  <c r="F81" i="54"/>
  <c r="D81" i="54"/>
  <c r="C81" i="54"/>
  <c r="A81" i="54"/>
  <c r="F80" i="54"/>
  <c r="D80" i="54"/>
  <c r="C80" i="54"/>
  <c r="A80" i="54"/>
  <c r="F79" i="54"/>
  <c r="D79" i="54"/>
  <c r="C79" i="54"/>
  <c r="A79" i="54"/>
  <c r="F78" i="54"/>
  <c r="D78" i="54"/>
  <c r="C78" i="54"/>
  <c r="A78" i="54"/>
  <c r="F77" i="54"/>
  <c r="D77" i="54"/>
  <c r="C77" i="54"/>
  <c r="A77" i="54"/>
  <c r="F76" i="54"/>
  <c r="D76" i="54"/>
  <c r="C76" i="54"/>
  <c r="A76" i="54"/>
  <c r="F75" i="54"/>
  <c r="D75" i="54"/>
  <c r="C75" i="54"/>
  <c r="A75" i="54"/>
  <c r="F74" i="54"/>
  <c r="D74" i="54"/>
  <c r="C74" i="54"/>
  <c r="A74" i="54"/>
  <c r="F73" i="54"/>
  <c r="D73" i="54"/>
  <c r="C73" i="54"/>
  <c r="A73" i="54"/>
  <c r="F72" i="54"/>
  <c r="D72" i="54"/>
  <c r="C72" i="54"/>
  <c r="A72" i="54"/>
  <c r="F71" i="54"/>
  <c r="D71" i="54"/>
  <c r="C71" i="54"/>
  <c r="A71" i="54"/>
  <c r="F70" i="54"/>
  <c r="D70" i="54"/>
  <c r="C70" i="54"/>
  <c r="A70" i="54"/>
  <c r="F69" i="54"/>
  <c r="D69" i="54"/>
  <c r="C69" i="54"/>
  <c r="A69" i="54"/>
  <c r="F68" i="54"/>
  <c r="D68" i="54"/>
  <c r="C68" i="54"/>
  <c r="A68" i="54"/>
  <c r="F67" i="54"/>
  <c r="D67" i="54"/>
  <c r="C67" i="54"/>
  <c r="A67" i="54"/>
  <c r="F66" i="54"/>
  <c r="D66" i="54"/>
  <c r="C66" i="54"/>
  <c r="A66" i="54"/>
  <c r="F65" i="54"/>
  <c r="D65" i="54"/>
  <c r="C65" i="54"/>
  <c r="F64" i="54"/>
  <c r="D64" i="54"/>
  <c r="C64" i="54"/>
  <c r="E64" i="54" s="1"/>
  <c r="A64" i="54"/>
  <c r="F63" i="54"/>
  <c r="D63" i="54"/>
  <c r="C63" i="54"/>
  <c r="A63" i="54"/>
  <c r="F62" i="54"/>
  <c r="D62" i="54"/>
  <c r="C62" i="54"/>
  <c r="A62" i="54"/>
  <c r="D61" i="54"/>
  <c r="C61" i="54"/>
  <c r="A61" i="54"/>
  <c r="F60" i="54"/>
  <c r="D60" i="54"/>
  <c r="C60" i="54"/>
  <c r="A60" i="54"/>
  <c r="D59" i="54"/>
  <c r="C59" i="54"/>
  <c r="A59" i="54"/>
  <c r="F58" i="54"/>
  <c r="D58" i="54"/>
  <c r="C58" i="54"/>
  <c r="A58" i="54"/>
  <c r="D57" i="54"/>
  <c r="C57" i="54"/>
  <c r="E57" i="54" s="1"/>
  <c r="A57" i="54"/>
  <c r="D56" i="54"/>
  <c r="C56" i="54"/>
  <c r="A56" i="54"/>
  <c r="F55" i="54"/>
  <c r="D55" i="54"/>
  <c r="C55" i="54"/>
  <c r="A55" i="54"/>
  <c r="F54" i="54"/>
  <c r="D54" i="54"/>
  <c r="C54" i="54"/>
  <c r="A54" i="54"/>
  <c r="F53" i="54"/>
  <c r="D53" i="54"/>
  <c r="C53" i="54"/>
  <c r="A53" i="54"/>
  <c r="F52" i="54"/>
  <c r="D52" i="54"/>
  <c r="C52" i="54"/>
  <c r="A52" i="54"/>
  <c r="F51" i="54"/>
  <c r="D51" i="54"/>
  <c r="C51" i="54"/>
  <c r="E51" i="54" s="1"/>
  <c r="A51" i="54"/>
  <c r="F50" i="54"/>
  <c r="D50" i="54"/>
  <c r="C50" i="54"/>
  <c r="A50" i="54"/>
  <c r="F49" i="54"/>
  <c r="D49" i="54"/>
  <c r="C49" i="54"/>
  <c r="A49" i="54"/>
  <c r="F48" i="54"/>
  <c r="D48" i="54"/>
  <c r="C48" i="54"/>
  <c r="A48" i="54"/>
  <c r="F47" i="54"/>
  <c r="D47" i="54"/>
  <c r="C47" i="54"/>
  <c r="A47" i="54"/>
  <c r="F46" i="54"/>
  <c r="D46" i="54"/>
  <c r="C46" i="54"/>
  <c r="A46" i="54"/>
  <c r="F45" i="54"/>
  <c r="D45" i="54"/>
  <c r="C45" i="54"/>
  <c r="A45" i="54"/>
  <c r="F44" i="54"/>
  <c r="D44" i="54"/>
  <c r="C44" i="54"/>
  <c r="A44" i="54"/>
  <c r="F43" i="54"/>
  <c r="D43" i="54"/>
  <c r="C43" i="54"/>
  <c r="A43" i="54"/>
  <c r="F42" i="54"/>
  <c r="D42" i="54"/>
  <c r="C42" i="54"/>
  <c r="A42" i="54"/>
  <c r="D41" i="54"/>
  <c r="C41" i="54"/>
  <c r="E41" i="54" s="1"/>
  <c r="A41" i="54"/>
  <c r="F40" i="54"/>
  <c r="D40" i="54"/>
  <c r="C40" i="54"/>
  <c r="A40" i="54"/>
  <c r="F39" i="54"/>
  <c r="D39" i="54"/>
  <c r="C39" i="54"/>
  <c r="E39" i="54" s="1"/>
  <c r="D38" i="54"/>
  <c r="C38" i="54"/>
  <c r="D37" i="54"/>
  <c r="C37" i="54"/>
  <c r="F36" i="54"/>
  <c r="D36" i="54"/>
  <c r="C36" i="54"/>
  <c r="A36" i="54"/>
  <c r="F35" i="54"/>
  <c r="D35" i="54"/>
  <c r="C35" i="54"/>
  <c r="A35" i="54"/>
  <c r="F34" i="54"/>
  <c r="D34" i="54"/>
  <c r="C34" i="54"/>
  <c r="A34" i="54"/>
  <c r="F33" i="54"/>
  <c r="D33" i="54"/>
  <c r="C33" i="54"/>
  <c r="A33" i="54"/>
  <c r="F32" i="54"/>
  <c r="D32" i="54"/>
  <c r="C32" i="54"/>
  <c r="A32" i="54"/>
  <c r="F31" i="54"/>
  <c r="D31" i="54"/>
  <c r="C31" i="54"/>
  <c r="A31" i="54"/>
  <c r="F30" i="54"/>
  <c r="D30" i="54"/>
  <c r="C30" i="54"/>
  <c r="A30" i="54"/>
  <c r="F29" i="54"/>
  <c r="D29" i="54"/>
  <c r="C29" i="54"/>
  <c r="A29" i="54"/>
  <c r="F28" i="54"/>
  <c r="D28" i="54"/>
  <c r="C28" i="54"/>
  <c r="A28" i="54"/>
  <c r="F27" i="54"/>
  <c r="D27" i="54"/>
  <c r="C27" i="54"/>
  <c r="A27" i="54"/>
  <c r="F26" i="54"/>
  <c r="D26" i="54"/>
  <c r="C26" i="54"/>
  <c r="A26" i="54"/>
  <c r="F25" i="54"/>
  <c r="D25" i="54"/>
  <c r="C25" i="54"/>
  <c r="A25" i="54"/>
  <c r="F24" i="54"/>
  <c r="D24" i="54"/>
  <c r="C24" i="54"/>
  <c r="A24" i="54"/>
  <c r="F23" i="54"/>
  <c r="D23" i="54"/>
  <c r="C23" i="54"/>
  <c r="A23" i="54"/>
  <c r="F22" i="54"/>
  <c r="D22" i="54"/>
  <c r="C22" i="54"/>
  <c r="A22" i="54"/>
  <c r="F21" i="54"/>
  <c r="D21" i="54"/>
  <c r="C21" i="54"/>
  <c r="A21" i="54"/>
  <c r="F20" i="54"/>
  <c r="D20" i="54"/>
  <c r="C20" i="54"/>
  <c r="A20" i="54"/>
  <c r="F19" i="54"/>
  <c r="D19" i="54"/>
  <c r="C19" i="54"/>
  <c r="A19" i="54"/>
  <c r="F18" i="54"/>
  <c r="D18" i="54"/>
  <c r="C18" i="54"/>
  <c r="A18" i="54"/>
  <c r="F17" i="54"/>
  <c r="D17" i="54"/>
  <c r="C17" i="54"/>
  <c r="A17" i="54"/>
  <c r="F16" i="54"/>
  <c r="D16" i="54"/>
  <c r="C16" i="54"/>
  <c r="A16" i="54"/>
  <c r="F15" i="54"/>
  <c r="D15" i="54"/>
  <c r="C15" i="54"/>
  <c r="A15" i="54"/>
  <c r="F14" i="54"/>
  <c r="D14" i="54"/>
  <c r="C14" i="54"/>
  <c r="A14" i="54"/>
  <c r="F13" i="54"/>
  <c r="D13" i="54"/>
  <c r="C13" i="54"/>
  <c r="A13" i="54"/>
  <c r="F12" i="54"/>
  <c r="D12" i="54"/>
  <c r="C12" i="54"/>
  <c r="A12" i="54"/>
  <c r="F11" i="54"/>
  <c r="D11" i="54"/>
  <c r="C11" i="54"/>
  <c r="A11" i="54"/>
  <c r="F10" i="54"/>
  <c r="D10" i="54"/>
  <c r="C10" i="54"/>
  <c r="A10" i="54"/>
  <c r="F9" i="54"/>
  <c r="D9" i="54"/>
  <c r="C9" i="54"/>
  <c r="A9" i="54"/>
  <c r="F8" i="54"/>
  <c r="D8" i="54"/>
  <c r="C8" i="54"/>
  <c r="A8" i="54"/>
  <c r="F7" i="54"/>
  <c r="D7" i="54"/>
  <c r="C7" i="54"/>
  <c r="A7" i="54"/>
  <c r="F6" i="54"/>
  <c r="D6" i="54"/>
  <c r="C6" i="54"/>
  <c r="A6" i="54"/>
  <c r="F5" i="54"/>
  <c r="D5" i="54"/>
  <c r="C5" i="54"/>
  <c r="A5" i="54"/>
  <c r="F4" i="54"/>
  <c r="D4" i="54"/>
  <c r="C4" i="54"/>
  <c r="A4" i="54"/>
  <c r="F3" i="54"/>
  <c r="D3" i="54"/>
  <c r="C3" i="54"/>
  <c r="A3" i="54"/>
  <c r="F2" i="54"/>
  <c r="D2" i="54"/>
  <c r="C2" i="54"/>
  <c r="A2" i="54"/>
  <c r="C45" i="51"/>
  <c r="C42" i="51"/>
  <c r="C41" i="51"/>
  <c r="C39" i="51"/>
  <c r="C36" i="51"/>
  <c r="C32" i="51"/>
  <c r="C31" i="51"/>
  <c r="C27" i="51"/>
  <c r="C26" i="51"/>
  <c r="C14" i="51"/>
  <c r="C11" i="51"/>
  <c r="C8" i="51"/>
  <c r="C7" i="51"/>
  <c r="E82" i="54" l="1"/>
  <c r="E52" i="54"/>
  <c r="E104" i="54"/>
  <c r="E90" i="54"/>
  <c r="E102" i="54"/>
  <c r="E92" i="54"/>
  <c r="E106" i="54"/>
  <c r="E108" i="54"/>
  <c r="E42" i="54"/>
  <c r="E109" i="54"/>
  <c r="E7" i="54"/>
  <c r="E15" i="54"/>
  <c r="E23" i="54"/>
  <c r="E35" i="54"/>
  <c r="E88" i="54"/>
  <c r="J32" i="51" s="1"/>
  <c r="E80" i="54"/>
  <c r="E99" i="54"/>
  <c r="B3" i="45"/>
  <c r="D3" i="45" s="1"/>
  <c r="B4" i="45"/>
  <c r="D4" i="45" s="1"/>
  <c r="B5" i="45"/>
  <c r="D5" i="45" s="1"/>
  <c r="B6" i="45"/>
  <c r="B7" i="45"/>
  <c r="D7" i="45" s="1"/>
  <c r="B8" i="45"/>
  <c r="D8" i="45" s="1"/>
  <c r="B9" i="45"/>
  <c r="D9" i="45" s="1"/>
  <c r="B10" i="45"/>
  <c r="B11" i="45"/>
  <c r="B12" i="45"/>
  <c r="B13" i="45"/>
  <c r="B14" i="45"/>
  <c r="B15" i="45"/>
  <c r="D15" i="45" s="1"/>
  <c r="B16" i="45"/>
  <c r="D16" i="45" s="1"/>
  <c r="B17" i="45"/>
  <c r="D17" i="45" s="1"/>
  <c r="H17" i="45" s="1"/>
  <c r="L17" i="45" s="1"/>
  <c r="B18" i="45"/>
  <c r="D18" i="45" s="1"/>
  <c r="B2" i="45"/>
  <c r="D2" i="45" s="1"/>
  <c r="B26" i="45"/>
  <c r="J17" i="45"/>
  <c r="J15" i="45"/>
  <c r="J4" i="45"/>
  <c r="J43" i="51"/>
  <c r="J6" i="45"/>
  <c r="J44" i="51"/>
  <c r="J3" i="51"/>
  <c r="J27" i="51"/>
  <c r="J2" i="45"/>
  <c r="J18" i="45"/>
  <c r="J16" i="51"/>
  <c r="J22" i="51"/>
  <c r="J12" i="51"/>
  <c r="J16" i="45"/>
  <c r="J2" i="51"/>
  <c r="J13" i="51"/>
  <c r="J10" i="45"/>
  <c r="J9" i="45"/>
  <c r="J45" i="51"/>
  <c r="C35" i="44" s="1"/>
  <c r="J30" i="51"/>
  <c r="J14" i="45"/>
  <c r="J21" i="51"/>
  <c r="J19" i="51"/>
  <c r="J13" i="45"/>
  <c r="J8" i="45"/>
  <c r="J12" i="45"/>
  <c r="J29" i="51"/>
  <c r="J24" i="51"/>
  <c r="C21" i="44" s="1"/>
  <c r="J11" i="45"/>
  <c r="J7" i="45"/>
  <c r="J18" i="51"/>
  <c r="J5" i="45"/>
  <c r="J3" i="45"/>
  <c r="J39" i="51"/>
  <c r="J35" i="51"/>
  <c r="C31" i="44" s="1"/>
  <c r="J41" i="51"/>
  <c r="J38" i="51"/>
  <c r="J23" i="51"/>
  <c r="C22" i="44" s="1"/>
  <c r="J37" i="51"/>
  <c r="C32" i="44" s="1"/>
  <c r="J26" i="51"/>
  <c r="J36" i="51"/>
  <c r="J31" i="51"/>
  <c r="J6" i="51"/>
  <c r="C10" i="44" s="1"/>
  <c r="E6" i="54"/>
  <c r="E5" i="54" s="1"/>
  <c r="E4" i="54" s="1"/>
  <c r="E3" i="54" s="1"/>
  <c r="E2" i="54" s="1"/>
  <c r="E14" i="54"/>
  <c r="E13" i="54" s="1"/>
  <c r="E12" i="54" s="1"/>
  <c r="E11" i="54" s="1"/>
  <c r="E10" i="54" s="1"/>
  <c r="E9" i="54" s="1"/>
  <c r="E8" i="54" s="1"/>
  <c r="J10" i="51" s="1"/>
  <c r="C12" i="44" s="1"/>
  <c r="E22" i="54"/>
  <c r="E21" i="54" s="1"/>
  <c r="E20" i="54" s="1"/>
  <c r="E19" i="54" s="1"/>
  <c r="E18" i="54" s="1"/>
  <c r="E17" i="54" s="1"/>
  <c r="E16" i="54" s="1"/>
  <c r="J28" i="51" s="1"/>
  <c r="C27" i="44" s="1"/>
  <c r="E34" i="54"/>
  <c r="E33" i="54" s="1"/>
  <c r="E32" i="54" s="1"/>
  <c r="E31" i="54" s="1"/>
  <c r="E30" i="54" s="1"/>
  <c r="E29" i="54" s="1"/>
  <c r="E28" i="54" s="1"/>
  <c r="E27" i="54" s="1"/>
  <c r="E26" i="54" s="1"/>
  <c r="E25" i="54" s="1"/>
  <c r="E24" i="54" s="1"/>
  <c r="J8" i="51" s="1"/>
  <c r="E38" i="54"/>
  <c r="C4" i="44" s="1"/>
  <c r="E37" i="54" s="1"/>
  <c r="E36" i="54" s="1"/>
  <c r="J15" i="51" s="1"/>
  <c r="C15" i="44" s="1"/>
  <c r="E40" i="54"/>
  <c r="J4" i="51" s="1"/>
  <c r="C8" i="44" s="1"/>
  <c r="E50" i="54"/>
  <c r="E49" i="54" s="1"/>
  <c r="E48" i="54" s="1"/>
  <c r="E47" i="54" s="1"/>
  <c r="E46" i="54" s="1"/>
  <c r="E45" i="54" s="1"/>
  <c r="E44" i="54" s="1"/>
  <c r="E43" i="54" s="1"/>
  <c r="J14" i="51" s="1"/>
  <c r="E56" i="54"/>
  <c r="E55" i="54" s="1"/>
  <c r="E54" i="54" s="1"/>
  <c r="E53" i="54" s="1"/>
  <c r="J5" i="51" s="1"/>
  <c r="C9" i="44" s="1"/>
  <c r="E63" i="54"/>
  <c r="E62" i="54" s="1"/>
  <c r="E61" i="54" s="1"/>
  <c r="E60" i="54" s="1"/>
  <c r="E59" i="54" s="1"/>
  <c r="E58" i="54" s="1"/>
  <c r="J9" i="51" s="1"/>
  <c r="C11" i="44" s="1"/>
  <c r="E79" i="54"/>
  <c r="E78" i="54" s="1"/>
  <c r="E77" i="54" s="1"/>
  <c r="E76" i="54" s="1"/>
  <c r="E75" i="54" s="1"/>
  <c r="E74" i="54" s="1"/>
  <c r="E73" i="54" s="1"/>
  <c r="E72" i="54" s="1"/>
  <c r="E71" i="54" s="1"/>
  <c r="E70" i="54" s="1"/>
  <c r="E69" i="54" s="1"/>
  <c r="E68" i="54" s="1"/>
  <c r="E67" i="54" s="1"/>
  <c r="E66" i="54" s="1"/>
  <c r="E65" i="54" s="1"/>
  <c r="J11" i="51" s="1"/>
  <c r="E81" i="54"/>
  <c r="J33" i="51" s="1"/>
  <c r="C29" i="44" s="1"/>
  <c r="E86" i="54"/>
  <c r="E85" i="54" s="1"/>
  <c r="E84" i="54" s="1"/>
  <c r="E83" i="54" s="1"/>
  <c r="J7" i="51" s="1"/>
  <c r="E94" i="54"/>
  <c r="E93" i="54" s="1"/>
  <c r="J42" i="51" s="1"/>
  <c r="E98" i="54"/>
  <c r="E97" i="54" s="1"/>
  <c r="E96" i="54" s="1"/>
  <c r="J20" i="51" s="1"/>
  <c r="C18" i="44" s="1"/>
  <c r="E103" i="54"/>
  <c r="J34" i="51" s="1"/>
  <c r="C30" i="44" s="1"/>
  <c r="E105" i="54"/>
  <c r="J25" i="51" s="1"/>
  <c r="C23" i="44" s="1"/>
  <c r="E107" i="54"/>
  <c r="J40" i="51" s="1"/>
  <c r="C28" i="44" s="1"/>
  <c r="H16" i="45" l="1"/>
  <c r="L16" i="45" s="1"/>
  <c r="K24" i="51" s="1"/>
  <c r="D21" i="44" s="1"/>
  <c r="G24" i="51"/>
  <c r="H8" i="45"/>
  <c r="L8" i="45" s="1"/>
  <c r="K28" i="51" s="1"/>
  <c r="D27" i="44" s="1"/>
  <c r="G28" i="51"/>
  <c r="F36" i="48"/>
  <c r="G36" i="48" s="1"/>
  <c r="D6" i="45"/>
  <c r="D12" i="45"/>
  <c r="F38" i="48"/>
  <c r="G38" i="48" s="1"/>
  <c r="H38" i="48" s="1"/>
  <c r="I38" i="48" s="1"/>
  <c r="D14" i="45"/>
  <c r="F39" i="48"/>
  <c r="G39" i="48" s="1"/>
  <c r="H39" i="48" s="1"/>
  <c r="I39" i="48" s="1"/>
  <c r="G15" i="51"/>
  <c r="H4" i="45"/>
  <c r="L4" i="45" s="1"/>
  <c r="K15" i="51" s="1"/>
  <c r="D15" i="44" s="1"/>
  <c r="D10" i="45"/>
  <c r="F41" i="48"/>
  <c r="G41" i="48" s="1"/>
  <c r="H41" i="48" s="1"/>
  <c r="I41" i="48" s="1"/>
  <c r="H2" i="45"/>
  <c r="G4" i="51"/>
  <c r="H5" i="45"/>
  <c r="L5" i="45" s="1"/>
  <c r="K5" i="51" s="1"/>
  <c r="D9" i="44" s="1"/>
  <c r="G5" i="51"/>
  <c r="H15" i="45"/>
  <c r="L15" i="45" s="1"/>
  <c r="K20" i="51" s="1"/>
  <c r="D18" i="44" s="1"/>
  <c r="G20" i="51"/>
  <c r="D11" i="45"/>
  <c r="F42" i="48"/>
  <c r="G42" i="48" s="1"/>
  <c r="H42" i="48" s="1"/>
  <c r="I42" i="48" s="1"/>
  <c r="H7" i="45"/>
  <c r="L7" i="45" s="1"/>
  <c r="K9" i="51" s="1"/>
  <c r="D11" i="44" s="1"/>
  <c r="G9" i="51"/>
  <c r="H3" i="45"/>
  <c r="L3" i="45" s="1"/>
  <c r="K6" i="51" s="1"/>
  <c r="D10" i="44" s="1"/>
  <c r="G6" i="51"/>
  <c r="G33" i="51"/>
  <c r="H9" i="45"/>
  <c r="L9" i="45" s="1"/>
  <c r="K33" i="51" s="1"/>
  <c r="D29" i="44" s="1"/>
  <c r="D13" i="45"/>
  <c r="F40" i="48"/>
  <c r="G40" i="48" s="1"/>
  <c r="H40" i="48" s="1"/>
  <c r="I40" i="48" s="1"/>
  <c r="H18" i="45"/>
  <c r="L18" i="45" s="1"/>
  <c r="G38" i="51"/>
  <c r="G23" i="51"/>
  <c r="I22" i="44" l="1"/>
  <c r="J22" i="44" s="1"/>
  <c r="E23" i="51"/>
  <c r="H23" i="51"/>
  <c r="H38" i="51"/>
  <c r="E38" i="51"/>
  <c r="I38" i="51" s="1"/>
  <c r="C38" i="51" s="1" a="1"/>
  <c r="C38" i="51" s="1"/>
  <c r="K38" i="51"/>
  <c r="K23" i="51"/>
  <c r="D22" i="44" s="1"/>
  <c r="G25" i="51"/>
  <c r="H13" i="45"/>
  <c r="L13" i="45" s="1"/>
  <c r="K25" i="51" s="1"/>
  <c r="D23" i="44" s="1"/>
  <c r="E33" i="51"/>
  <c r="H33" i="51"/>
  <c r="I29" i="44"/>
  <c r="J29" i="44" s="1"/>
  <c r="I10" i="44"/>
  <c r="J10" i="44" s="1"/>
  <c r="H6" i="51"/>
  <c r="E6" i="51"/>
  <c r="I11" i="44"/>
  <c r="J11" i="44" s="1"/>
  <c r="E9" i="51"/>
  <c r="H9" i="51"/>
  <c r="H11" i="45"/>
  <c r="L11" i="45" s="1"/>
  <c r="K35" i="51" s="1"/>
  <c r="D31" i="44" s="1"/>
  <c r="G35" i="51"/>
  <c r="P6" i="45" a="1"/>
  <c r="P6" i="45" s="1"/>
  <c r="P7" i="45" a="1"/>
  <c r="P7" i="45" s="1"/>
  <c r="P5" i="45" a="1"/>
  <c r="P5" i="45" s="1"/>
  <c r="P4" i="45" a="1"/>
  <c r="P4" i="45" s="1"/>
  <c r="P2" i="45" a="1"/>
  <c r="P2" i="45" s="1"/>
  <c r="D19" i="45"/>
  <c r="N6" i="45" s="1" a="1"/>
  <c r="N6" i="45" s="1"/>
  <c r="P3" i="45" a="1"/>
  <c r="P3" i="45" s="1"/>
  <c r="H20" i="51"/>
  <c r="E20" i="51"/>
  <c r="I18" i="44"/>
  <c r="G21" i="51"/>
  <c r="H21" i="51" s="1"/>
  <c r="I9" i="44"/>
  <c r="J9" i="44" s="1"/>
  <c r="H5" i="51"/>
  <c r="E5" i="51"/>
  <c r="E4" i="51"/>
  <c r="H4" i="51"/>
  <c r="I8" i="44"/>
  <c r="L2" i="45"/>
  <c r="K4" i="51" s="1"/>
  <c r="D8" i="44" s="1"/>
  <c r="G37" i="51"/>
  <c r="H10" i="45"/>
  <c r="L10" i="45" s="1"/>
  <c r="K37" i="51" s="1"/>
  <c r="D32" i="44" s="1"/>
  <c r="E15" i="51"/>
  <c r="H15" i="51"/>
  <c r="I15" i="44"/>
  <c r="G40" i="51"/>
  <c r="H14" i="45"/>
  <c r="L14" i="45" s="1"/>
  <c r="K40" i="51" s="1"/>
  <c r="D28" i="44" s="1"/>
  <c r="H12" i="45"/>
  <c r="L12" i="45" s="1"/>
  <c r="K34" i="51" s="1"/>
  <c r="D30" i="44" s="1"/>
  <c r="G34" i="51"/>
  <c r="G10" i="51"/>
  <c r="H6" i="45"/>
  <c r="G44" i="48"/>
  <c r="C62" i="48" s="1"/>
  <c r="C63" i="48" s="1"/>
  <c r="C66" i="48" s="1"/>
  <c r="H36" i="48"/>
  <c r="I27" i="44"/>
  <c r="E28" i="51"/>
  <c r="H28" i="51"/>
  <c r="H24" i="51"/>
  <c r="I21" i="44"/>
  <c r="E24" i="51"/>
  <c r="N3" i="45" l="1" a="1"/>
  <c r="N3" i="45" s="1"/>
  <c r="N4" i="45" a="1"/>
  <c r="N4" i="45" s="1"/>
  <c r="N2" i="45" a="1"/>
  <c r="N2" i="45" s="1"/>
  <c r="I6" i="45"/>
  <c r="K6" i="45" s="1"/>
  <c r="N7" i="45" a="1"/>
  <c r="N7" i="45" s="1"/>
  <c r="I10" i="45"/>
  <c r="K10" i="45" s="1"/>
  <c r="N5" i="45" a="1"/>
  <c r="N5" i="45" s="1"/>
  <c r="I12" i="45"/>
  <c r="K12" i="45" s="1"/>
  <c r="I14" i="45"/>
  <c r="K14" i="45" s="1"/>
  <c r="G21" i="44"/>
  <c r="I24" i="51"/>
  <c r="C24" i="51" s="1" a="1"/>
  <c r="J21" i="44"/>
  <c r="I28" i="51"/>
  <c r="C28" i="51" s="1" a="1"/>
  <c r="C28" i="51" s="1"/>
  <c r="G27" i="44"/>
  <c r="J27" i="44"/>
  <c r="H44" i="48"/>
  <c r="I36" i="48"/>
  <c r="L6" i="45"/>
  <c r="K10" i="51" s="1"/>
  <c r="D12" i="44" s="1"/>
  <c r="H19" i="45"/>
  <c r="O3" i="45" a="1"/>
  <c r="O3" i="45" s="1"/>
  <c r="O6" i="45" a="1"/>
  <c r="O6" i="45" s="1"/>
  <c r="O4" i="45" a="1"/>
  <c r="O4" i="45" s="1"/>
  <c r="O7" i="45" a="1"/>
  <c r="O7" i="45" s="1"/>
  <c r="O5" i="45" a="1"/>
  <c r="O5" i="45" s="1"/>
  <c r="O2" i="45" a="1"/>
  <c r="O2" i="45" s="1"/>
  <c r="H10" i="51"/>
  <c r="I12" i="44"/>
  <c r="J12" i="44" s="1"/>
  <c r="E10" i="51"/>
  <c r="G12" i="51"/>
  <c r="H12" i="51" s="1"/>
  <c r="I30" i="44"/>
  <c r="J30" i="44" s="1"/>
  <c r="E34" i="51"/>
  <c r="H34" i="51"/>
  <c r="G43" i="51"/>
  <c r="I28" i="44"/>
  <c r="H40" i="51"/>
  <c r="E40" i="51"/>
  <c r="I16" i="44"/>
  <c r="J15" i="44"/>
  <c r="I15" i="51"/>
  <c r="C15" i="51" s="1" a="1"/>
  <c r="C15" i="51" s="1"/>
  <c r="E16" i="51"/>
  <c r="I16" i="51" s="1"/>
  <c r="C16" i="51" s="1" a="1"/>
  <c r="C16" i="51" s="1"/>
  <c r="G15" i="44"/>
  <c r="G16" i="44" s="1"/>
  <c r="I32" i="44"/>
  <c r="J32" i="44" s="1"/>
  <c r="E37" i="51"/>
  <c r="H37" i="51"/>
  <c r="J8" i="44"/>
  <c r="G8" i="44"/>
  <c r="I4" i="51"/>
  <c r="C4" i="51" s="1" a="1"/>
  <c r="C4" i="51" s="1"/>
  <c r="G9" i="44"/>
  <c r="I5" i="51"/>
  <c r="C5" i="51" s="1" a="1"/>
  <c r="C5" i="51" s="1"/>
  <c r="E9" i="44" s="1"/>
  <c r="J18" i="44"/>
  <c r="I19" i="44"/>
  <c r="J19" i="44" s="1"/>
  <c r="G18" i="44"/>
  <c r="G19" i="44" s="1"/>
  <c r="I20" i="51"/>
  <c r="C20" i="51" s="1" a="1"/>
  <c r="E21" i="51"/>
  <c r="I21" i="51" s="1"/>
  <c r="C21" i="51" s="1" a="1"/>
  <c r="C21" i="51" s="1"/>
  <c r="I17" i="45"/>
  <c r="K17" i="45" s="1"/>
  <c r="D21" i="45"/>
  <c r="D24" i="45" s="1"/>
  <c r="I16" i="45"/>
  <c r="K16" i="45" s="1"/>
  <c r="I8" i="45"/>
  <c r="K8" i="45" s="1"/>
  <c r="I4" i="45"/>
  <c r="K4" i="45" s="1"/>
  <c r="I2" i="45"/>
  <c r="K2" i="45" s="1"/>
  <c r="I5" i="45"/>
  <c r="K5" i="45" s="1"/>
  <c r="I15" i="45"/>
  <c r="K15" i="45" s="1"/>
  <c r="I7" i="45"/>
  <c r="K7" i="45" s="1"/>
  <c r="I3" i="45"/>
  <c r="K3" i="45" s="1"/>
  <c r="I9" i="45"/>
  <c r="K9" i="45" s="1"/>
  <c r="I18" i="45"/>
  <c r="K18" i="45" s="1"/>
  <c r="I13" i="45"/>
  <c r="K13" i="45" s="1"/>
  <c r="I11" i="45"/>
  <c r="K11" i="45" s="1"/>
  <c r="I31" i="44"/>
  <c r="J31" i="44" s="1"/>
  <c r="E35" i="51"/>
  <c r="H35" i="51"/>
  <c r="I9" i="51"/>
  <c r="C9" i="51" s="1" a="1"/>
  <c r="C9" i="51" s="1"/>
  <c r="E11" i="44" s="1"/>
  <c r="G11" i="44"/>
  <c r="I6" i="51"/>
  <c r="C6" i="51" s="1" a="1"/>
  <c r="C6" i="51" s="1"/>
  <c r="E10" i="44" s="1"/>
  <c r="G10" i="44"/>
  <c r="G29" i="44"/>
  <c r="I33" i="51"/>
  <c r="C33" i="51" s="1" a="1"/>
  <c r="I23" i="44"/>
  <c r="E25" i="51"/>
  <c r="H25" i="51"/>
  <c r="G29" i="51"/>
  <c r="H29" i="51" s="1"/>
  <c r="I23" i="51"/>
  <c r="C23" i="51" s="1" a="1"/>
  <c r="G22" i="44"/>
  <c r="E24" i="45" l="1"/>
  <c r="C3" i="44" s="1"/>
  <c r="I13" i="44"/>
  <c r="J13" i="44" s="1"/>
  <c r="E43" i="51"/>
  <c r="E8" i="44"/>
  <c r="C23" i="51"/>
  <c r="E22" i="44" s="1"/>
  <c r="E29" i="51"/>
  <c r="I29" i="51" s="1"/>
  <c r="C29" i="51" s="1" a="1"/>
  <c r="C29" i="51" s="1"/>
  <c r="G23" i="44"/>
  <c r="G24" i="44" s="1"/>
  <c r="I25" i="51"/>
  <c r="C25" i="51" s="1" a="1"/>
  <c r="C25" i="51" s="1"/>
  <c r="E23" i="44" s="1"/>
  <c r="J23" i="44"/>
  <c r="I24" i="44"/>
  <c r="J24" i="44" s="1"/>
  <c r="I43" i="51"/>
  <c r="C33" i="51"/>
  <c r="E29" i="44" s="1"/>
  <c r="G31" i="44"/>
  <c r="I35" i="51"/>
  <c r="C35" i="51" s="1" a="1"/>
  <c r="K19" i="45"/>
  <c r="C20" i="51"/>
  <c r="E18" i="44" s="1"/>
  <c r="G13" i="44"/>
  <c r="I37" i="51"/>
  <c r="C37" i="51" s="1" a="1"/>
  <c r="C37" i="51" s="1"/>
  <c r="G32" i="44"/>
  <c r="J16" i="44"/>
  <c r="I40" i="51"/>
  <c r="C40" i="51" s="1" a="1"/>
  <c r="C40" i="51" s="1"/>
  <c r="G28" i="44"/>
  <c r="J28" i="44"/>
  <c r="I33" i="44"/>
  <c r="H43" i="51"/>
  <c r="H46" i="51" s="1"/>
  <c r="G46" i="51"/>
  <c r="I34" i="51"/>
  <c r="C34" i="51" s="1" a="1"/>
  <c r="C34" i="51" s="1"/>
  <c r="E30" i="44" s="1"/>
  <c r="G30" i="44"/>
  <c r="E12" i="51"/>
  <c r="I10" i="51"/>
  <c r="C10" i="51" s="1" a="1"/>
  <c r="C10" i="51" s="1"/>
  <c r="E12" i="44" s="1"/>
  <c r="G12" i="44"/>
  <c r="C65" i="48"/>
  <c r="I44" i="48"/>
  <c r="E27" i="44" s="1"/>
  <c r="C24" i="51"/>
  <c r="E21" i="44" s="1"/>
  <c r="G36" i="44" l="1"/>
  <c r="E15" i="44" s="1"/>
  <c r="I12" i="51"/>
  <c r="C12" i="51" s="1" a="1"/>
  <c r="C12" i="51" s="1"/>
  <c r="E46" i="51"/>
  <c r="J33" i="44"/>
  <c r="J36" i="44" s="1"/>
  <c r="E32" i="44" s="1"/>
  <c r="I36" i="44"/>
  <c r="E28" i="44" s="1"/>
  <c r="C35" i="51"/>
  <c r="E31" i="44" s="1"/>
  <c r="C43" i="51" a="1"/>
  <c r="C43" i="51" s="1"/>
  <c r="I46"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Mohammed Ndako</author>
  </authors>
  <commentList>
    <comment ref="Q16" authorId="0" shapeId="0" xr:uid="{30C983A1-172B-4F38-BFA0-29CB420881A1}">
      <text>
        <r>
          <rPr>
            <b/>
            <sz val="9"/>
            <color indexed="81"/>
            <rFont val="Tahoma"/>
            <family val="2"/>
          </rPr>
          <t>Mohammed Ndako:</t>
        </r>
        <r>
          <rPr>
            <sz val="9"/>
            <color indexed="81"/>
            <rFont val="Tahoma"/>
            <family val="2"/>
          </rPr>
          <t xml:space="preserve">
Classified based on Digi Power X as AI/data-center energy infrastructure.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Mohammed Ndako</author>
  </authors>
  <commentList>
    <comment ref="B196" authorId="0" shapeId="0" xr:uid="{C3431CE9-9300-4311-B931-5535BA997D64}">
      <text>
        <r>
          <rPr>
            <b/>
            <sz val="9"/>
            <color indexed="81"/>
            <rFont val="Tahoma"/>
            <family val="2"/>
          </rPr>
          <t>Mohammed Ndako:</t>
        </r>
        <r>
          <rPr>
            <sz val="9"/>
            <color indexed="81"/>
            <rFont val="Tahoma"/>
            <family val="2"/>
          </rPr>
          <t xml:space="preserve">
Corrected to 22 May 2026 trade date per contract note.</t>
        </r>
      </text>
    </comment>
    <comment ref="F196" authorId="0" shapeId="0" xr:uid="{55C6E5A8-01B8-40BD-8714-89E7DAD1362C}">
      <text>
        <r>
          <rPr>
            <b/>
            <sz val="9"/>
            <color indexed="81"/>
            <rFont val="Tahoma"/>
            <family val="2"/>
          </rPr>
          <t>Mohammed Ndako:</t>
        </r>
        <r>
          <rPr>
            <sz val="9"/>
            <color indexed="81"/>
            <rFont val="Tahoma"/>
            <family val="2"/>
          </rPr>
          <t xml:space="preserve">
Linked to net settlement proceeds recorded in Ledger!E78.</t>
        </r>
      </text>
    </comment>
    <comment ref="E197" authorId="0" shapeId="0" xr:uid="{2CCFF030-C3A0-4F29-B518-96203E10338E}">
      <text>
        <r>
          <rPr>
            <b/>
            <sz val="9"/>
            <color indexed="81"/>
            <rFont val="Tahoma"/>
            <family val="2"/>
          </rPr>
          <t>Mohammed Ndako:</t>
        </r>
        <r>
          <rPr>
            <sz val="9"/>
            <color indexed="81"/>
            <rFont val="Tahoma"/>
            <family val="2"/>
          </rPr>
          <t xml:space="preserve">
Set to zero when META holding is fully sold, avoiding a not-applicable #DIV/0 average-cost display.</t>
        </r>
      </text>
    </comment>
    <comment ref="B330" authorId="0" shapeId="0" xr:uid="{37CBEBBF-37D4-447E-891D-B9717F470BFA}">
      <text>
        <r>
          <rPr>
            <b/>
            <sz val="9"/>
            <color indexed="81"/>
            <rFont val="Tahoma"/>
            <family val="2"/>
          </rPr>
          <t>Mohammed Ndako:</t>
        </r>
        <r>
          <rPr>
            <sz val="9"/>
            <color indexed="81"/>
            <rFont val="Tahoma"/>
            <family val="2"/>
          </rPr>
          <t xml:space="preserve">
Trade date from contract note: 24 Jun 2026.</t>
        </r>
      </text>
    </comment>
    <comment ref="D330" authorId="0" shapeId="0" xr:uid="{6E850268-31D6-4DCD-B012-6FFF7091D04B}">
      <text>
        <r>
          <rPr>
            <b/>
            <sz val="9"/>
            <color indexed="81"/>
            <rFont val="Tahoma"/>
            <family val="2"/>
          </rPr>
          <t>Mohammed Ndako:</t>
        </r>
        <r>
          <rPr>
            <sz val="9"/>
            <color indexed="81"/>
            <rFont val="Tahoma"/>
            <family val="2"/>
          </rPr>
          <t xml:space="preserve">
Full disposal of 1,450 TOWA units.</t>
        </r>
      </text>
    </comment>
    <comment ref="F330" authorId="0" shapeId="0" xr:uid="{6C908CC7-F435-498A-9DD6-D3FF662B2438}">
      <text>
        <r>
          <rPr>
            <b/>
            <sz val="9"/>
            <color indexed="81"/>
            <rFont val="Tahoma"/>
            <family val="2"/>
          </rPr>
          <t>Mohammed Ndako:</t>
        </r>
        <r>
          <rPr>
            <sz val="9"/>
            <color indexed="81"/>
            <rFont val="Tahoma"/>
            <family val="2"/>
          </rPr>
          <t xml:space="preserve">
Links sale proceeds to main ledger sale row.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Mohammed Ndako</author>
  </authors>
  <commentList>
    <comment ref="C30" authorId="0" shapeId="0" xr:uid="{239B0CC4-999A-44F8-8E0A-807D590BE3B9}">
      <text>
        <r>
          <rPr>
            <b/>
            <sz val="9"/>
            <color indexed="81"/>
            <rFont val="Tahoma"/>
            <family val="2"/>
          </rPr>
          <t>Mohammed Ndako:</t>
        </r>
        <r>
          <rPr>
            <sz val="9"/>
            <color indexed="81"/>
            <rFont val="Tahoma"/>
            <family val="2"/>
          </rPr>
          <t xml:space="preserve">
Matched to source transaction in Ledger!C73/E73.</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60"/>
        </ext>
      </extLst>
    </bk>
    <bk>
      <extLst>
        <ext uri="{3e2802c4-a4d2-4d8b-9148-e3be6c30e623}">
          <xlrd:rvb i="163"/>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5"/>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9"/>
        </ext>
      </extLst>
    </bk>
    <bk>
      <extLst>
        <ext uri="{3e2802c4-a4d2-4d8b-9148-e3be6c30e623}">
          <xlrd:rvb i="242"/>
        </ext>
      </extLst>
    </bk>
    <bk>
      <extLst>
        <ext uri="{3e2802c4-a4d2-4d8b-9148-e3be6c30e623}">
          <xlrd:rvb i="245"/>
        </ext>
      </extLst>
    </bk>
    <bk>
      <extLst>
        <ext uri="{3e2802c4-a4d2-4d8b-9148-e3be6c30e623}">
          <xlrd:rvb i="248"/>
        </ext>
      </extLst>
    </bk>
    <bk>
      <extLst>
        <ext uri="{3e2802c4-a4d2-4d8b-9148-e3be6c30e623}">
          <xlrd:rvb i="250"/>
        </ext>
      </extLst>
    </bk>
    <bk>
      <extLst>
        <ext uri="{3e2802c4-a4d2-4d8b-9148-e3be6c30e623}">
          <xlrd:rvb i="253"/>
        </ext>
      </extLst>
    </bk>
    <bk>
      <extLst>
        <ext uri="{3e2802c4-a4d2-4d8b-9148-e3be6c30e623}">
          <xlrd:rvb i="256"/>
        </ext>
      </extLst>
    </bk>
    <bk>
      <extLst>
        <ext uri="{3e2802c4-a4d2-4d8b-9148-e3be6c30e623}">
          <xlrd:rvb i="259"/>
        </ext>
      </extLst>
    </bk>
    <bk>
      <extLst>
        <ext uri="{3e2802c4-a4d2-4d8b-9148-e3be6c30e623}">
          <xlrd:rvb i="262"/>
        </ext>
      </extLst>
    </bk>
    <bk>
      <extLst>
        <ext uri="{3e2802c4-a4d2-4d8b-9148-e3be6c30e623}">
          <xlrd:rvb i="265"/>
        </ext>
      </extLst>
    </bk>
    <bk>
      <extLst>
        <ext uri="{3e2802c4-a4d2-4d8b-9148-e3be6c30e623}">
          <xlrd:rvb i="268"/>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6"/>
        </ext>
      </extLst>
    </bk>
    <bk>
      <extLst>
        <ext uri="{3e2802c4-a4d2-4d8b-9148-e3be6c30e623}">
          <xlrd:rvb i="299"/>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futureMetadata>
  <cellMetadata count="1">
    <bk>
      <rc t="1" v="0"/>
    </bk>
  </cellMetadata>
  <valueMetadata count="10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valueMetadata>
</metadata>
</file>

<file path=xl/sharedStrings.xml><?xml version="1.0" encoding="utf-8"?>
<sst xmlns="http://schemas.openxmlformats.org/spreadsheetml/2006/main" count="1461" uniqueCount="393">
  <si>
    <t>Performance vs Benchmarks</t>
  </si>
  <si>
    <t>Daily Change</t>
  </si>
  <si>
    <t xml:space="preserve">Total Change </t>
  </si>
  <si>
    <t>Date</t>
  </si>
  <si>
    <t>NAV/share</t>
  </si>
  <si>
    <t>MSCI World Index</t>
  </si>
  <si>
    <t>Securities</t>
  </si>
  <si>
    <t>Total Return</t>
  </si>
  <si>
    <t>Status</t>
  </si>
  <si>
    <t>Strategic % Allocation</t>
  </si>
  <si>
    <t>Current % Allocation</t>
  </si>
  <si>
    <t>Strategic $ Allocation</t>
  </si>
  <si>
    <t>Current $ Allocation</t>
  </si>
  <si>
    <t>$ Difference</t>
  </si>
  <si>
    <t xml:space="preserve">     Market/Large Cap</t>
  </si>
  <si>
    <t>Developed Economies (ex US)</t>
  </si>
  <si>
    <t>US Large Cap value</t>
  </si>
  <si>
    <t>Microsoft</t>
  </si>
  <si>
    <t xml:space="preserve">Europe  </t>
  </si>
  <si>
    <t>Nvidia Corp</t>
  </si>
  <si>
    <t>Small Cap</t>
  </si>
  <si>
    <t>Growth</t>
  </si>
  <si>
    <t>Theta/Income/Dividend</t>
  </si>
  <si>
    <t>Alpha Architect 1-3 Month Box ET</t>
  </si>
  <si>
    <t>Momentum/Trend Following</t>
  </si>
  <si>
    <t>Digi Power X</t>
  </si>
  <si>
    <t>Wolfspeed</t>
  </si>
  <si>
    <t>On Semiconductor</t>
  </si>
  <si>
    <t>Value/Quality</t>
  </si>
  <si>
    <t>JPMorgan Chase &amp; Co</t>
  </si>
  <si>
    <t>Texas Instrument</t>
  </si>
  <si>
    <t>Amazon.com</t>
  </si>
  <si>
    <t>PDF Solutions</t>
  </si>
  <si>
    <t>Ciena Corp</t>
  </si>
  <si>
    <t>Lumentum Holdings</t>
  </si>
  <si>
    <t>Others</t>
  </si>
  <si>
    <t>Cash</t>
  </si>
  <si>
    <t>Total</t>
  </si>
  <si>
    <t>SYMBOL</t>
  </si>
  <si>
    <t>PRICE</t>
  </si>
  <si>
    <t xml:space="preserve"> UNITS     </t>
  </si>
  <si>
    <t xml:space="preserve"> CURRENT VALUE</t>
  </si>
  <si>
    <t xml:space="preserve"> WAC </t>
  </si>
  <si>
    <t>COST</t>
  </si>
  <si>
    <t>Dividends</t>
  </si>
  <si>
    <t>P or L</t>
  </si>
  <si>
    <t>WEIGHT</t>
  </si>
  <si>
    <t>BETA</t>
  </si>
  <si>
    <t>WEIGHTED BETA</t>
  </si>
  <si>
    <t>% RETURN</t>
  </si>
  <si>
    <t>INDUSTRY</t>
  </si>
  <si>
    <t>EXPOSURE</t>
  </si>
  <si>
    <t>WEIGHTED RETURN</t>
  </si>
  <si>
    <t>SECTOR</t>
  </si>
  <si>
    <t># COMPANIES</t>
  </si>
  <si>
    <t>IDEV</t>
  </si>
  <si>
    <t>Diversified ETFs</t>
  </si>
  <si>
    <t>MSFT</t>
  </si>
  <si>
    <t>Software/Cloud</t>
  </si>
  <si>
    <t>VOT</t>
  </si>
  <si>
    <t>Cash/Fixed Income</t>
  </si>
  <si>
    <t>VTV</t>
  </si>
  <si>
    <t>E-Commerce/Internet</t>
  </si>
  <si>
    <t>NVDA</t>
  </si>
  <si>
    <t>Financials</t>
  </si>
  <si>
    <t>Semiconductors</t>
  </si>
  <si>
    <t>FEZ</t>
  </si>
  <si>
    <t>Utilities / AI Infra</t>
  </si>
  <si>
    <t>JPM</t>
  </si>
  <si>
    <t>AMZN</t>
  </si>
  <si>
    <t>LITE</t>
  </si>
  <si>
    <t>CIEN</t>
  </si>
  <si>
    <t>PDFS</t>
  </si>
  <si>
    <t>ON</t>
  </si>
  <si>
    <t>TXN</t>
  </si>
  <si>
    <t>BOXX</t>
  </si>
  <si>
    <t>DGXX</t>
  </si>
  <si>
    <t>URTH</t>
  </si>
  <si>
    <t>WOLF</t>
  </si>
  <si>
    <t>CASH VALUE AT HAND</t>
  </si>
  <si>
    <t>CURRENT PORTFOLIO VALUE</t>
  </si>
  <si>
    <t>PREVIOUS PORTFOLIO VALUE</t>
  </si>
  <si>
    <t>CASH INFLOW</t>
  </si>
  <si>
    <t>CHANGE IN VALUE</t>
  </si>
  <si>
    <t>Quarter</t>
  </si>
  <si>
    <t>Total Assets</t>
  </si>
  <si>
    <t>Total Liabilities</t>
  </si>
  <si>
    <t>Net Assets</t>
  </si>
  <si>
    <t>Shares Outstandings</t>
  </si>
  <si>
    <t>Nav</t>
  </si>
  <si>
    <t>Daily Return</t>
  </si>
  <si>
    <t>MSCI World</t>
  </si>
  <si>
    <t>MSCI World Daily Return</t>
  </si>
  <si>
    <t>MSCI World Total Return</t>
  </si>
  <si>
    <t>ValueDate</t>
  </si>
  <si>
    <t>GL Description</t>
  </si>
  <si>
    <t>Debit</t>
  </si>
  <si>
    <t>Credit</t>
  </si>
  <si>
    <t>Balance</t>
  </si>
  <si>
    <t>STOCK</t>
  </si>
  <si>
    <t>HOLDINGS</t>
  </si>
  <si>
    <t>AVG. COST</t>
  </si>
  <si>
    <t>Opening Balance</t>
  </si>
  <si>
    <t>Purchased 95 units of BESI @ €165.13 (USD cost $18,534.54)</t>
  </si>
  <si>
    <t>AVGO</t>
  </si>
  <si>
    <t>20-01-2026</t>
  </si>
  <si>
    <t>Purchased 190 units of SMTC @ $75.70</t>
  </si>
  <si>
    <t>22-01-2026</t>
  </si>
  <si>
    <t>Sold 232 units of UBER @ $83.51</t>
  </si>
  <si>
    <t>QQQ</t>
  </si>
  <si>
    <t>Sold 160 units of SPMO @ $118.51</t>
  </si>
  <si>
    <t>Purchased 450 units of INTC @ $54.4</t>
  </si>
  <si>
    <t>27-01-2026</t>
  </si>
  <si>
    <t>Purchased 75 units of LITE @ $335.2</t>
  </si>
  <si>
    <t>Purchased 290 units of VVX @ $68.88</t>
  </si>
  <si>
    <t>Purchased 75 units of AVGO @ $338.2</t>
  </si>
  <si>
    <t>IFX</t>
  </si>
  <si>
    <t>Inflow</t>
  </si>
  <si>
    <t>Purchased 120 units of BE @ $166</t>
  </si>
  <si>
    <t>Purchased 47 units of AVGO $316</t>
  </si>
  <si>
    <t>Purchased 310 units of INTC @ $48.50</t>
  </si>
  <si>
    <t>Purchased 84 units of NVDA @ $178</t>
  </si>
  <si>
    <t>Purchased 70 units of SITM @ $352.90</t>
  </si>
  <si>
    <t>GOOGL</t>
  </si>
  <si>
    <t>Purchased 3900 units of KOPN @ $2.55</t>
  </si>
  <si>
    <t>Purchased 110 units of BE @ $139</t>
  </si>
  <si>
    <t>SMTC</t>
  </si>
  <si>
    <t>Purchased 150 units of ONTO @ $199.73</t>
  </si>
  <si>
    <t>INTC</t>
  </si>
  <si>
    <t>Purchased 65 units of NVMI @ $444.9677</t>
  </si>
  <si>
    <t>Purchased 35 units of META @ $688.43</t>
  </si>
  <si>
    <t>Purchased 850 units of JEPI @ $58.53</t>
  </si>
  <si>
    <t>BESI</t>
  </si>
  <si>
    <t>Purchased 4150 units of KOPN @ $2.38</t>
  </si>
  <si>
    <t>Purchased 165 units of ZM @ $91.32</t>
  </si>
  <si>
    <t>Purchased 95 units of CIEN @ $283.52</t>
  </si>
  <si>
    <t>Sold 65 units of NVMI @ $458.35</t>
  </si>
  <si>
    <t>STM</t>
  </si>
  <si>
    <t>Purchased 22 units of LITE @ $681.73</t>
  </si>
  <si>
    <t>6315.T</t>
  </si>
  <si>
    <t>Purchased 80 units of NVDA @ $182.34</t>
  </si>
  <si>
    <t>ZM</t>
  </si>
  <si>
    <t>Sold 324 units of FOUR @ $46.10</t>
  </si>
  <si>
    <t>Purchased 750 units of SOI @ €56.41 (USD cost $49,550.03)</t>
  </si>
  <si>
    <t>Purchased 500 units of SKYT @ $34.98</t>
  </si>
  <si>
    <t>Sold 500 units of SKYT @ $27.82</t>
  </si>
  <si>
    <t>Sold 103 units of WMT @ $120.68</t>
  </si>
  <si>
    <t>Received 45.02 Dividend on QQQ</t>
  </si>
  <si>
    <t>Received 16.95 dividend on WMT</t>
  </si>
  <si>
    <t>Received 37.80 dividend for JPM</t>
  </si>
  <si>
    <t>Received 119.95 dividend for BX</t>
  </si>
  <si>
    <t>Received 209.05 of JEPI dividend</t>
  </si>
  <si>
    <t>Received 14.01 of MSFT dividend</t>
  </si>
  <si>
    <t>Received 10 of AAPL dividend</t>
  </si>
  <si>
    <t>Received 12.17 of FEZ dividend</t>
  </si>
  <si>
    <t>Received 28.67 of META dividend</t>
  </si>
  <si>
    <t>Received 41.55 of QQQ dividend</t>
  </si>
  <si>
    <t>Sold 850 units of JEPI @ $57.31</t>
  </si>
  <si>
    <t>Sold 115 units of BX @ 121.48</t>
  </si>
  <si>
    <t>Sold 290 units of VVX @ $63.29</t>
  </si>
  <si>
    <t>Purchased 1450 units of 6315.T @ ¥2952.06</t>
  </si>
  <si>
    <t>Sold 8050 units of KOPN @ $3.71</t>
  </si>
  <si>
    <t>Sold 70 units of SITM @530.40</t>
  </si>
  <si>
    <t>Stock</t>
  </si>
  <si>
    <t>Units Disposed</t>
  </si>
  <si>
    <t>Purchase Cost</t>
  </si>
  <si>
    <t>Sales Proceeds</t>
  </si>
  <si>
    <t>Net Gain(loss)</t>
  </si>
  <si>
    <t>Net Gain/Loss (%)</t>
  </si>
  <si>
    <t>Comment</t>
  </si>
  <si>
    <t>Sold 230 units of BE @ 267</t>
  </si>
  <si>
    <t>UBER</t>
  </si>
  <si>
    <t>Sold 310 units of INTC @ 92.20</t>
  </si>
  <si>
    <t>SPMO</t>
  </si>
  <si>
    <t>Sold 47 units of AVGO @ 411.00</t>
  </si>
  <si>
    <t>26-02-2026</t>
  </si>
  <si>
    <t>NVMI</t>
  </si>
  <si>
    <t>Purchased 800 units of PDFS @ $42.95</t>
  </si>
  <si>
    <t>FOUR</t>
  </si>
  <si>
    <t>Purchased 1000 units of WOLF @ $30.90</t>
  </si>
  <si>
    <t>SKYT</t>
  </si>
  <si>
    <t>Purchased 600 units of BOXX @ $116.58</t>
  </si>
  <si>
    <t>WMT</t>
  </si>
  <si>
    <t>Sold 1000 units of WOLF @ $39.25</t>
  </si>
  <si>
    <t>JEPI</t>
  </si>
  <si>
    <t>Sold 750 units of SOI @ €153.2776 (USD proceeds $134,493.24)</t>
  </si>
  <si>
    <t>BX</t>
  </si>
  <si>
    <t>Sold 450 units of INTC @ $110.96</t>
  </si>
  <si>
    <t>VVX</t>
  </si>
  <si>
    <t>Sold 150 units of ONTO @ $293.68</t>
  </si>
  <si>
    <t>KOPN</t>
  </si>
  <si>
    <t>Sold 95 units of CIEN @ $566.06</t>
  </si>
  <si>
    <t>SITM</t>
  </si>
  <si>
    <t>Sold 97 units of LITE @ $913.05</t>
  </si>
  <si>
    <t>BE</t>
  </si>
  <si>
    <t>Purchased 240 units of ON @ $101.50</t>
  </si>
  <si>
    <t>Purchased 20 units of LITE @ $910</t>
  </si>
  <si>
    <t>Purchased 37 units of CIEN @ $542</t>
  </si>
  <si>
    <t>Purchased 310 units of PDFS @ $47.80</t>
  </si>
  <si>
    <t>SOI</t>
  </si>
  <si>
    <t>Sold 600 units of BOXX @ $116.65</t>
  </si>
  <si>
    <t>Purchased 100 units of TXN @ $295.49</t>
  </si>
  <si>
    <t>ONTO</t>
  </si>
  <si>
    <t>Purchased 500 units of STM @ $59.05</t>
  </si>
  <si>
    <t>Purchased 2000 units of BOXX @ $116.718</t>
  </si>
  <si>
    <t>Purchased 600 units of IFX @ €61.86 (USD Cost is $43,852.65)</t>
  </si>
  <si>
    <t>Purchased 30 units of TXN @ $304.80</t>
  </si>
  <si>
    <t>Purchased 430 units of BOXX @ $116.73</t>
  </si>
  <si>
    <t>META</t>
  </si>
  <si>
    <t>Purchased 3500 units of DGXX @ C$11.99</t>
  </si>
  <si>
    <t>Purchased 600 units of WOLF @ $70.22</t>
  </si>
  <si>
    <t>Sold 165 units of ZM @ $96.12</t>
  </si>
  <si>
    <t>Sold 78 units of META @ $607.485428</t>
  </si>
  <si>
    <t>Sold 600 units of IFX @ €81.6209 (USD proceeds $55,751.11)</t>
  </si>
  <si>
    <t>TOWA</t>
  </si>
  <si>
    <t>Sold 95 units of BESI @ €300.046316 (USD proceeds $32,377.83)</t>
  </si>
  <si>
    <t>Sold 190 units of SMTC @ $161.133942 (USD proceeds $30,296.67)</t>
  </si>
  <si>
    <t>Sold 75 units of AVGO @ $377.622084 (USD proceeds $28,014.35)</t>
  </si>
  <si>
    <t>Sold 1,450 units of TOWA @ JPY3,221.01931 (settlement proceeds $28,382.79)</t>
  </si>
  <si>
    <t>Sold 500 units of STM @ $71.39 (USD proceeds $35,674.26)</t>
  </si>
  <si>
    <t>Sold 81 units of QQQ @ $715.127483 (USD proceeds $57,478.07)</t>
  </si>
  <si>
    <t>Sold 68 units of GOOGL @ $342.262356 (USD proceeds $23,008.06)</t>
  </si>
  <si>
    <t>Sold 146 units of NVDA @ $194.893243 (USD proceeds $28,146.92)</t>
  </si>
  <si>
    <t>Received 34.13 dividend on AVGO</t>
  </si>
  <si>
    <t>Received 60.30 dividend on VOT</t>
  </si>
  <si>
    <t>Received 139.76 dividend on VTV</t>
  </si>
  <si>
    <t>Received 1.02 dividend on NVDA</t>
  </si>
  <si>
    <t>Received 250.20 dividend on JEPI</t>
  </si>
  <si>
    <t>Received 17.85 dividend on WMT</t>
  </si>
  <si>
    <t>Received 37.80 dividend on JPM</t>
  </si>
  <si>
    <t>Received 149.21 dividend on BESI</t>
  </si>
  <si>
    <t>Received 14.01 dividend on MSFT</t>
  </si>
  <si>
    <t>Received 10.47 dividend on GOOGL</t>
  </si>
  <si>
    <t>Received 319.86 dividend on IDEV</t>
  </si>
  <si>
    <t>Received 147.85 dividend on FEZ</t>
  </si>
  <si>
    <t>Received 25.55 dividend on NVDA</t>
  </si>
  <si>
    <t>Purchased 1200 units of URTH @ $200.840367</t>
  </si>
  <si>
    <t>Purchased 1100 units of IDEV @ $88.344155</t>
  </si>
  <si>
    <t>TranDate</t>
  </si>
  <si>
    <t>ISHARES TRUST  CORE MSCI INTL DEVELOPED MK (IDEV)</t>
  </si>
  <si>
    <t>UNITS</t>
  </si>
  <si>
    <t>WAPX</t>
  </si>
  <si>
    <t>Cost Of Purchase</t>
  </si>
  <si>
    <t>Weight</t>
  </si>
  <si>
    <t>NASDAQ 100 (QQQ)</t>
  </si>
  <si>
    <t>MICROSOFT (MSFT)</t>
  </si>
  <si>
    <t>NVIDIA CORPORATION (NVDA)</t>
  </si>
  <si>
    <t>VANGUARD INDEX FDS  VANGUARD MID-CAP GROWTH ETF (VOT)</t>
  </si>
  <si>
    <t>VANGUARD INDEX FDS  VANGUARD VALUE ETF (VTV)</t>
  </si>
  <si>
    <t>S&amp;P 500 MOMENTUM ETF</t>
  </si>
  <si>
    <t>23-01-2026</t>
  </si>
  <si>
    <t>SHIFT4 PAYMENTS INC.</t>
  </si>
  <si>
    <t>JPM EQUITY PREMIUM ETF</t>
  </si>
  <si>
    <t>SPDR INDEX SHARES FUNDS - EURO STOXX 50 ETF</t>
  </si>
  <si>
    <t>- ISHARES MSCI INDIA ETF</t>
  </si>
  <si>
    <t>META PLATFORMS INC</t>
  </si>
  <si>
    <t>UBER TECHNOLOGIES INC</t>
  </si>
  <si>
    <t>APPLE INC</t>
  </si>
  <si>
    <t>Zoom Communications Inc</t>
  </si>
  <si>
    <t>WALMART INC</t>
  </si>
  <si>
    <t>MSCI GERMANY ETF</t>
  </si>
  <si>
    <t>AMAZON COM INC</t>
  </si>
  <si>
    <t>ADVANCED MICRO DEVICES INC</t>
  </si>
  <si>
    <t>ALPHABET INC</t>
  </si>
  <si>
    <t>BLACKSTONE INC</t>
  </si>
  <si>
    <t>BE SEMICONDUCTOR INDUSTRIES NV</t>
  </si>
  <si>
    <t>13/1/2026</t>
  </si>
  <si>
    <t>SEMTECH CORP</t>
  </si>
  <si>
    <t>20/1/2026</t>
  </si>
  <si>
    <t>INTEL CORPORATION</t>
  </si>
  <si>
    <t>LUMENTUM HOLDINGS</t>
  </si>
  <si>
    <t>27/1/2026</t>
  </si>
  <si>
    <t>V2X INC</t>
  </si>
  <si>
    <t>BROADCOM INC</t>
  </si>
  <si>
    <t>BLOOM ENERGY</t>
  </si>
  <si>
    <t>SITIME CORPORATION</t>
  </si>
  <si>
    <t>KOPIN CORP</t>
  </si>
  <si>
    <t>ONTO INNOVATION</t>
  </si>
  <si>
    <t>NOVA LTD</t>
  </si>
  <si>
    <t>CIENA CORP</t>
  </si>
  <si>
    <t>SOITEC S.A</t>
  </si>
  <si>
    <t>SKYWATER TECHNOLOG  COM USD0.01</t>
  </si>
  <si>
    <t>TOWA CORPORATION</t>
  </si>
  <si>
    <t>WOLFSPEED</t>
  </si>
  <si>
    <t>ON Semiconductor</t>
  </si>
  <si>
    <t>Texas Instruments</t>
  </si>
  <si>
    <t>STMicroelectronics</t>
  </si>
  <si>
    <t>INFINEON TECHNOLOGIES</t>
  </si>
  <si>
    <t>Eur Price</t>
  </si>
  <si>
    <t>DIGI POWER X</t>
  </si>
  <si>
    <t>ISHARES INC - MSCI WORLD ETF (URTH)</t>
  </si>
  <si>
    <t>STONEX LEDGER</t>
  </si>
  <si>
    <t>Description</t>
  </si>
  <si>
    <t>Purchased 120 units of BE @ $166.00 (USD cost $19,940.00)</t>
  </si>
  <si>
    <t>Purchased 47 units of AVGO @ $316.00 (USD cost $14,872.00)</t>
  </si>
  <si>
    <t>Purchased 310 units of INTC @ $48.50 (USD cost $15,055.00)</t>
  </si>
  <si>
    <t>Purchased 84 units of NVDA @ $178.00 (USD cost $14,972.00)</t>
  </si>
  <si>
    <t>Purchased 70 units of SITM @ $352.06 (USD cost $24,664.20)</t>
  </si>
  <si>
    <t>Purchased 3,900 units of KOPN @ $2.55 (USD cost $10,023.00)</t>
  </si>
  <si>
    <t>Purchased 110 units of BE @ $139.00 (USD cost $15,310.00)</t>
  </si>
  <si>
    <t>Purchased 4,150 units of KOPN @ $2.38 (USD cost $9,960.00)</t>
  </si>
  <si>
    <t>Purchased 165 units of ZM @ $91.32 (USD cost $15,087.80)</t>
  </si>
  <si>
    <t>Sold 8,050 units of KOPN @ $3.71 (USD proceeds $29,706.30)</t>
  </si>
  <si>
    <t>Sold 70 units of SITM @ $531.86 (USD proceeds $37,209.43)</t>
  </si>
  <si>
    <t>Sold 230 units of BE @ $268.05 (USD proceeds $61,631.23)</t>
  </si>
  <si>
    <t>Sold 310 units of INTC @ $92.25 (USD proceeds $28,575.36)</t>
  </si>
  <si>
    <t>Sold 47 units of AVGO @ $411.00 (USD proceeds $19,296.60)</t>
  </si>
  <si>
    <t>Purchased 800 units of PDFS @ $42.95 (USD cost $34,380.00)</t>
  </si>
  <si>
    <t>Purchased 1,000 units of WOLF @ $30.90 (USD cost $30,920.00)</t>
  </si>
  <si>
    <t>Purchased 600 units of BOXX @ $116.58 (USD cost $69,965.00)</t>
  </si>
  <si>
    <t>Sold 1,000 units of WOLF @ $39.25 (USD proceeds $39,229.15)</t>
  </si>
  <si>
    <t>Purchased 240 units of ON @ $101.67 (USD cost $24,400.00)</t>
  </si>
  <si>
    <t>Purchased 20 units of LITE @ $910.00 (USD cost $18,240.00)</t>
  </si>
  <si>
    <t>Purchased 37 units of CIEN @ $542.00 (USD cost $20,094.00)</t>
  </si>
  <si>
    <t>Purchased 310 units of PDFS @ $47.80 (USD cost $14,858.00)</t>
  </si>
  <si>
    <t>Sold 600 units of BOXX @ $116.65 (USD proceeds $69,971.55)</t>
  </si>
  <si>
    <t>Purchased 100 units of TXN @ $295.49 (USD cost $29,569.00)</t>
  </si>
  <si>
    <t>Purchased 500 units of STM @ $59.05 (USD cost $29,545.00)</t>
  </si>
  <si>
    <t>Purchased 30 units of TXN @ $304.80 (USD cost $9,164.00)</t>
  </si>
  <si>
    <t>Sold 165 units of ZM @ $96.12 (USD proceeds $15,839.47)</t>
  </si>
  <si>
    <t>RETURNS SUMMARY</t>
  </si>
  <si>
    <t>UNREALIZED P&amp;L (Open Positions)</t>
  </si>
  <si>
    <t>Shares</t>
  </si>
  <si>
    <t>Avg. Cost</t>
  </si>
  <si>
    <t>Cost Basis</t>
  </si>
  <si>
    <t>Mkt Price</t>
  </si>
  <si>
    <t>Mkt Value</t>
  </si>
  <si>
    <t>Unrealized P&amp;L</t>
  </si>
  <si>
    <t>Return %</t>
  </si>
  <si>
    <t>Total Unrealized</t>
  </si>
  <si>
    <t>REALIZED P&amp;L (Closed Positions)</t>
  </si>
  <si>
    <t>Buy Avg</t>
  </si>
  <si>
    <t>Sell Avg</t>
  </si>
  <si>
    <t>Proceeds</t>
  </si>
  <si>
    <t>Realized P&amp;L</t>
  </si>
  <si>
    <t>Total Realized</t>
  </si>
  <si>
    <t>ACCOUNT SUMMARY</t>
  </si>
  <si>
    <t>Opening Capital</t>
  </si>
  <si>
    <t>Cash Balance</t>
  </si>
  <si>
    <t>Portfolio Mkt Value</t>
  </si>
  <si>
    <t>Total Account Value</t>
  </si>
  <si>
    <t>Total P&amp;L (Realized + Unrealized)</t>
  </si>
  <si>
    <t>Total Return on Capital</t>
  </si>
  <si>
    <t>Year</t>
  </si>
  <si>
    <t>Month</t>
  </si>
  <si>
    <t>Benchmark Return</t>
  </si>
  <si>
    <t>Fund Return</t>
  </si>
  <si>
    <t>Jul</t>
  </si>
  <si>
    <t>Jan</t>
  </si>
  <si>
    <t>Aug</t>
  </si>
  <si>
    <t>Feb</t>
  </si>
  <si>
    <t>Sep</t>
  </si>
  <si>
    <t>Mar</t>
  </si>
  <si>
    <t>Oct</t>
  </si>
  <si>
    <t>Apr</t>
  </si>
  <si>
    <t>Nov</t>
  </si>
  <si>
    <t>May</t>
  </si>
  <si>
    <t>Dec</t>
  </si>
  <si>
    <t>Jun</t>
  </si>
  <si>
    <t>Client's Name</t>
  </si>
  <si>
    <t>Dollar inflow (outflow)</t>
  </si>
  <si>
    <t>Nav on Sub Date</t>
  </si>
  <si>
    <t>Total Unit Purchased</t>
  </si>
  <si>
    <t>Balance Units</t>
  </si>
  <si>
    <t>TICKER</t>
  </si>
  <si>
    <t>Strategic Allocation</t>
  </si>
  <si>
    <t>Current Allocation</t>
  </si>
  <si>
    <t>Strategic Dollar Allocation ($)</t>
  </si>
  <si>
    <t>Current Dollar Allocation</t>
  </si>
  <si>
    <t>Dollar Difference</t>
  </si>
  <si>
    <t>Difference</t>
  </si>
  <si>
    <t>Core</t>
  </si>
  <si>
    <t>Alphabet Inc</t>
  </si>
  <si>
    <t>NASDAQ100</t>
  </si>
  <si>
    <t>Meta Platforms Inc</t>
  </si>
  <si>
    <t xml:space="preserve">     Small-Mid Cap</t>
  </si>
  <si>
    <t>VBR</t>
  </si>
  <si>
    <t>Satelites</t>
  </si>
  <si>
    <t>Intel Corporation</t>
  </si>
  <si>
    <t>Towa Corporation</t>
  </si>
  <si>
    <t>Value/Quality/FD Growth</t>
  </si>
  <si>
    <t>BE Semiconductor Industries</t>
  </si>
  <si>
    <t>Semtech Corp</t>
  </si>
  <si>
    <t>Soitec</t>
  </si>
  <si>
    <t>Zoom Communications</t>
  </si>
  <si>
    <t>Broadcom Inc</t>
  </si>
  <si>
    <t>NAME</t>
  </si>
  <si>
    <t xml:space="preserve"> CURRENT     </t>
  </si>
  <si>
    <t>Previous Close</t>
  </si>
  <si>
    <t>price change</t>
  </si>
  <si>
    <t>Beta</t>
  </si>
  <si>
    <t>Offshore Fund</t>
  </si>
  <si>
    <t>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</si>
</sst>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quot;$&quot;#,##0.00_);[Red]\(&quot;$&quot;#,##0.00\)"/>
    <numFmt numFmtId="165" formatCode="_(&quot;$&quot;* #,##0.00_);_(&quot;$&quot;* \(#,##0.00\);_(&quot;$&quot;* &quot;-&quot;??_);_(@_)"/>
    <numFmt numFmtId="166" formatCode="_(* #,##0.00_);_(* \(#,##0.00\);_(* &quot;-&quot;??_);_(@_)"/>
    <numFmt numFmtId="167" formatCode="* #,##0.00\ ;* \(#,##0.00\);* \-#\ ;@\ "/>
    <numFmt numFmtId="168" formatCode="#,##0.0%;[Red]\-#,##0.0%"/>
    <numFmt numFmtId="169" formatCode="#,##0.00%;[Red]\-#,##0.00%"/>
    <numFmt numFmtId="170" formatCode="#,##0.00_ ;[Red]\-#,##0.00\ "/>
    <numFmt numFmtId="171" formatCode="[$-F800]dddd\,\ mmmm\ dd\,\ yyyy"/>
    <numFmt numFmtId="172" formatCode="&quot;$&quot;#,##0.00;[Red]&quot;$&quot;#,##0.00"/>
    <numFmt numFmtId="173" formatCode="[$-1010409]dd\-mmm\-yyyy"/>
    <numFmt numFmtId="174" formatCode="_(* #,##0_);_(* \(#,##0\);_(* &quot;-&quot;??_);_(@_)"/>
    <numFmt numFmtId="175" formatCode="_-* #,##0_-;\-* #,##0_-;_-* &quot;-&quot;??_-;_-@_-"/>
    <numFmt numFmtId="176" formatCode="_(* #,##0.000_);_(* \(#,##0.000\);_(* &quot;-&quot;??_);_(@_)"/>
    <numFmt numFmtId="177" formatCode="0.000%"/>
    <numFmt numFmtId="178" formatCode="&quot;$&quot;#,##0.0000_);[Red]\(&quot;$&quot;#,##0.0000\)"/>
    <numFmt numFmtId="179" formatCode="[$$-45C]#,##0.00"/>
    <numFmt numFmtId="180" formatCode="_([$€-2]\ * #,##0.00_);_([$€-2]\ * \(#,##0.00\);_([$€-2]\ * &quot;-&quot;??_);_(@_)"/>
    <numFmt numFmtId="181" formatCode="0.0%"/>
    <numFmt numFmtId="182" formatCode="dd\-mmm\-yyyy"/>
  </numFmts>
  <fonts count="36"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color theme="0"/>
      <name val="Arial"/>
      <family val="2"/>
    </font>
    <font>
      <b/>
      <sz val="10"/>
      <color theme="1"/>
      <name val="Arial"/>
      <family val="2"/>
    </font>
    <font>
      <b/>
      <sz val="11"/>
      <color theme="1"/>
      <name val="Arial"/>
      <family val="2"/>
    </font>
    <font>
      <b/>
      <i/>
      <u/>
      <sz val="10"/>
      <color rgb="FF000000"/>
      <name val="Arial"/>
      <family val="2"/>
    </font>
    <font>
      <i/>
      <sz val="10"/>
      <color rgb="FF000000"/>
      <name val="Arial"/>
      <family val="2"/>
    </font>
    <font>
      <i/>
      <sz val="10"/>
      <name val="Arial"/>
      <family val="2"/>
    </font>
    <font>
      <sz val="10"/>
      <color theme="1"/>
      <name val="Arial"/>
      <family val="2"/>
    </font>
    <font>
      <sz val="11"/>
      <color theme="1"/>
      <name val="Arial"/>
      <family val="2"/>
    </font>
    <font>
      <sz val="10"/>
      <color rgb="FF000000"/>
      <name val="Arial"/>
      <family val="2"/>
    </font>
    <font>
      <b/>
      <sz val="10"/>
      <color rgb="FF000000"/>
      <name val="Arial"/>
      <family val="2"/>
    </font>
    <font>
      <u/>
      <sz val="11"/>
      <color theme="10"/>
      <name val="Calibri"/>
      <family val="2"/>
      <scheme val="minor"/>
    </font>
    <font>
      <sz val="8"/>
      <color indexed="8"/>
      <name val="Arial"/>
      <family val="2"/>
    </font>
    <font>
      <b/>
      <sz val="8"/>
      <name val="Arial"/>
      <family val="2"/>
    </font>
    <font>
      <sz val="8"/>
      <color theme="1"/>
      <name val="Arial"/>
      <family val="2"/>
    </font>
    <font>
      <b/>
      <sz val="8"/>
      <color theme="1"/>
      <name val="Arial"/>
      <family val="2"/>
    </font>
    <font>
      <u/>
      <sz val="8"/>
      <color theme="4"/>
      <name val="Arial"/>
      <family val="2"/>
    </font>
    <font>
      <b/>
      <sz val="8"/>
      <color theme="0"/>
      <name val="Arial"/>
      <family val="2"/>
    </font>
    <font>
      <u/>
      <sz val="8"/>
      <color theme="1"/>
      <name val="Arial"/>
      <family val="2"/>
    </font>
    <font>
      <b/>
      <sz val="12"/>
      <color theme="1"/>
      <name val="Arial"/>
      <family val="2"/>
    </font>
    <font>
      <sz val="12"/>
      <color theme="1"/>
      <name val="Arial"/>
      <family val="2"/>
    </font>
    <font>
      <sz val="12"/>
      <color theme="0"/>
      <name val="Arial"/>
      <family val="2"/>
    </font>
    <font>
      <sz val="12"/>
      <color theme="1"/>
      <name val="Calibri"/>
      <family val="2"/>
      <scheme val="minor"/>
    </font>
    <font>
      <sz val="11"/>
      <color rgb="FF000000"/>
      <name val="Calibri"/>
      <family val="2"/>
      <scheme val="minor"/>
    </font>
    <font>
      <sz val="11"/>
      <color theme="1"/>
      <name val="Segoe UI"/>
      <family val="2"/>
    </font>
    <font>
      <b/>
      <sz val="10"/>
      <color rgb="FFFFFFFF"/>
      <name val="Arial"/>
      <family val="2"/>
    </font>
    <font>
      <sz val="8"/>
      <color indexed="8"/>
      <name val="Aptos Narrow"/>
      <family val="2"/>
    </font>
    <font>
      <i/>
      <sz val="10"/>
      <color theme="1"/>
      <name val="Arial"/>
      <family val="2"/>
    </font>
    <font>
      <sz val="8"/>
      <color rgb="FF000000"/>
      <name val="Arial"/>
      <family val="2"/>
    </font>
    <font>
      <b/>
      <sz val="8"/>
      <color rgb="FF000000"/>
      <name val="Arial"/>
      <family val="2"/>
    </font>
    <font>
      <sz val="8"/>
      <color rgb="FF0000FF"/>
      <name val="Arial"/>
      <family val="2"/>
    </font>
    <font>
      <sz val="9"/>
      <color indexed="81"/>
      <name val="Tahoma"/>
      <family val="2"/>
    </font>
    <font>
      <b/>
      <sz val="9"/>
      <color indexed="81"/>
      <name val="Tahoma"/>
      <family val="2"/>
    </font>
  </fonts>
  <fills count="12">
    <fill>
      <patternFill patternType="none"/>
    </fill>
    <fill>
      <patternFill patternType="gray125"/>
    </fill>
    <fill>
      <patternFill patternType="solid">
        <fgColor rgb="FF002060"/>
        <bgColor rgb="FF33CCCC"/>
      </patternFill>
    </fill>
    <fill>
      <patternFill patternType="solid">
        <fgColor theme="4" tint="0.79998168889431442"/>
        <bgColor theme="4" tint="0.79998168889431442"/>
      </patternFill>
    </fill>
    <fill>
      <patternFill patternType="solid">
        <fgColor rgb="FF002060"/>
        <bgColor indexed="64"/>
      </patternFill>
    </fill>
    <fill>
      <patternFill patternType="solid">
        <fgColor rgb="FF002060"/>
        <bgColor theme="4"/>
      </patternFill>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249977111117893"/>
        <bgColor indexed="64"/>
      </patternFill>
    </fill>
    <fill>
      <patternFill patternType="solid">
        <fgColor rgb="FFFFFFFF"/>
        <bgColor indexed="64"/>
      </patternFill>
    </fill>
  </fills>
  <borders count="55">
    <border>
      <left/>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auto="1"/>
      </right>
      <top style="medium">
        <color auto="1"/>
      </top>
      <bottom style="hair">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auto="1"/>
      </right>
      <top/>
      <bottom style="medium">
        <color indexed="64"/>
      </bottom>
      <diagonal/>
    </border>
    <border>
      <left style="hair">
        <color auto="1"/>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hair">
        <color auto="1"/>
      </left>
      <right/>
      <top style="medium">
        <color indexed="64"/>
      </top>
      <bottom style="hair">
        <color auto="1"/>
      </bottom>
      <diagonal/>
    </border>
    <border>
      <left style="hair">
        <color auto="1"/>
      </left>
      <right/>
      <top style="hair">
        <color auto="1"/>
      </top>
      <bottom style="hair">
        <color auto="1"/>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auto="1"/>
      </right>
      <top/>
      <bottom/>
      <diagonal/>
    </border>
    <border>
      <left/>
      <right style="thin">
        <color auto="1"/>
      </right>
      <top/>
      <bottom/>
      <diagonal/>
    </border>
  </borders>
  <cellStyleXfs count="13">
    <xf numFmtId="0" fontId="0" fillId="0" borderId="0"/>
    <xf numFmtId="166"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3" fillId="0" borderId="0"/>
    <xf numFmtId="167" fontId="3" fillId="0" borderId="0" applyFont="0" applyBorder="0" applyAlignment="0" applyProtection="0"/>
    <xf numFmtId="166" fontId="1" fillId="0" borderId="0" applyFont="0" applyFill="0" applyBorder="0" applyAlignment="0" applyProtection="0"/>
    <xf numFmtId="0" fontId="7" fillId="0" borderId="0" applyBorder="0" applyAlignment="0" applyProtection="0"/>
    <xf numFmtId="43" fontId="1" fillId="0" borderId="0" applyFont="0" applyFill="0" applyBorder="0" applyAlignment="0" applyProtection="0"/>
    <xf numFmtId="0" fontId="14" fillId="0" borderId="0" applyNumberFormat="0" applyFill="0" applyBorder="0" applyAlignment="0" applyProtection="0"/>
    <xf numFmtId="0" fontId="3" fillId="0" borderId="0">
      <alignment wrapText="1"/>
    </xf>
    <xf numFmtId="166" fontId="3" fillId="0" borderId="0" applyFont="0" applyFill="0" applyBorder="0" applyAlignment="0" applyProtection="0"/>
    <xf numFmtId="174" fontId="1" fillId="0" borderId="0" applyFont="0" applyFill="0" applyBorder="0" applyAlignment="0" applyProtection="0"/>
  </cellStyleXfs>
  <cellXfs count="318">
    <xf numFmtId="0" fontId="0" fillId="0" borderId="0" xfId="0"/>
    <xf numFmtId="40" fontId="4" fillId="2" borderId="1" xfId="4" applyNumberFormat="1" applyFont="1" applyFill="1" applyBorder="1" applyAlignment="1">
      <alignment horizontal="center"/>
    </xf>
    <xf numFmtId="40" fontId="4" fillId="2" borderId="2" xfId="5" applyNumberFormat="1" applyFont="1" applyFill="1" applyBorder="1" applyAlignment="1" applyProtection="1">
      <alignment horizontal="center"/>
    </xf>
    <xf numFmtId="38" fontId="4" fillId="2" borderId="2" xfId="5" applyNumberFormat="1" applyFont="1" applyFill="1" applyBorder="1" applyAlignment="1" applyProtection="1">
      <alignment horizontal="center"/>
    </xf>
    <xf numFmtId="40" fontId="4" fillId="2" borderId="3" xfId="4" applyNumberFormat="1" applyFont="1" applyFill="1" applyBorder="1" applyAlignment="1">
      <alignment horizontal="center"/>
    </xf>
    <xf numFmtId="0" fontId="6" fillId="0" borderId="0" xfId="0" applyFont="1" applyAlignment="1">
      <alignment horizontal="center"/>
    </xf>
    <xf numFmtId="40" fontId="8" fillId="0" borderId="7" xfId="7" applyNumberFormat="1" applyFont="1" applyBorder="1" applyAlignment="1">
      <alignment wrapText="1"/>
    </xf>
    <xf numFmtId="40" fontId="8" fillId="0" borderId="8" xfId="7" applyNumberFormat="1" applyFont="1" applyBorder="1" applyAlignment="1">
      <alignment wrapText="1"/>
    </xf>
    <xf numFmtId="38" fontId="8" fillId="0" borderId="8" xfId="7" applyNumberFormat="1" applyFont="1" applyBorder="1" applyAlignment="1">
      <alignment wrapText="1"/>
    </xf>
    <xf numFmtId="10" fontId="9" fillId="0" borderId="8" xfId="3" applyNumberFormat="1" applyFont="1" applyBorder="1" applyAlignment="1">
      <alignment wrapText="1"/>
    </xf>
    <xf numFmtId="0" fontId="10" fillId="0" borderId="0" xfId="0" applyFont="1"/>
    <xf numFmtId="0" fontId="11" fillId="0" borderId="0" xfId="0" applyFont="1"/>
    <xf numFmtId="10" fontId="11" fillId="0" borderId="0" xfId="3" applyNumberFormat="1" applyFont="1"/>
    <xf numFmtId="0" fontId="3" fillId="0" borderId="10" xfId="4" applyBorder="1"/>
    <xf numFmtId="4" fontId="3" fillId="0" borderId="0" xfId="4" applyNumberFormat="1"/>
    <xf numFmtId="167" fontId="12" fillId="0" borderId="0" xfId="5" applyFont="1" applyBorder="1" applyAlignment="1" applyProtection="1"/>
    <xf numFmtId="0" fontId="11" fillId="0" borderId="11" xfId="0" applyFont="1" applyBorder="1"/>
    <xf numFmtId="38" fontId="13" fillId="0" borderId="16" xfId="5" applyNumberFormat="1" applyFont="1" applyBorder="1" applyAlignment="1" applyProtection="1"/>
    <xf numFmtId="166" fontId="13" fillId="0" borderId="16" xfId="6" applyFont="1" applyBorder="1" applyAlignment="1" applyProtection="1"/>
    <xf numFmtId="164" fontId="11" fillId="0" borderId="12" xfId="0" applyNumberFormat="1" applyFont="1" applyBorder="1"/>
    <xf numFmtId="3" fontId="11" fillId="0" borderId="13" xfId="0" applyNumberFormat="1" applyFont="1" applyBorder="1"/>
    <xf numFmtId="38" fontId="13" fillId="0" borderId="17" xfId="5" applyNumberFormat="1" applyFont="1" applyBorder="1" applyAlignment="1" applyProtection="1"/>
    <xf numFmtId="170" fontId="13" fillId="0" borderId="18" xfId="6" applyNumberFormat="1" applyFont="1" applyBorder="1" applyAlignment="1" applyProtection="1"/>
    <xf numFmtId="10" fontId="5" fillId="0" borderId="19" xfId="3" applyNumberFormat="1" applyFont="1" applyBorder="1"/>
    <xf numFmtId="0" fontId="11" fillId="0" borderId="13" xfId="0" applyFont="1" applyBorder="1"/>
    <xf numFmtId="0" fontId="11" fillId="0" borderId="14" xfId="0" applyFont="1" applyBorder="1"/>
    <xf numFmtId="166" fontId="10" fillId="0" borderId="0" xfId="0" applyNumberFormat="1" applyFont="1"/>
    <xf numFmtId="171" fontId="10" fillId="0" borderId="0" xfId="0" applyNumberFormat="1" applyFont="1" applyAlignment="1">
      <alignment horizontal="center" vertical="center"/>
    </xf>
    <xf numFmtId="43" fontId="10" fillId="0" borderId="0" xfId="8" applyFont="1" applyAlignment="1">
      <alignment horizontal="center" vertical="center"/>
    </xf>
    <xf numFmtId="0" fontId="10" fillId="0" borderId="0" xfId="0" applyFont="1" applyAlignment="1">
      <alignment horizontal="center" vertical="center"/>
    </xf>
    <xf numFmtId="43" fontId="10" fillId="0" borderId="0" xfId="0" applyNumberFormat="1" applyFont="1" applyAlignment="1">
      <alignment horizontal="center" vertical="center"/>
    </xf>
    <xf numFmtId="166" fontId="11" fillId="0" borderId="0" xfId="1" applyFont="1"/>
    <xf numFmtId="0" fontId="4" fillId="4" borderId="0" xfId="0" applyFont="1" applyFill="1"/>
    <xf numFmtId="43" fontId="10" fillId="0" borderId="0" xfId="8" applyFont="1"/>
    <xf numFmtId="171" fontId="10" fillId="0" borderId="0" xfId="0" applyNumberFormat="1" applyFont="1"/>
    <xf numFmtId="171" fontId="4" fillId="4" borderId="4" xfId="0" applyNumberFormat="1" applyFont="1" applyFill="1" applyBorder="1" applyAlignment="1">
      <alignment horizontal="center" vertical="center"/>
    </xf>
    <xf numFmtId="43" fontId="4" fillId="4" borderId="5" xfId="8" applyFont="1" applyFill="1" applyBorder="1" applyAlignment="1">
      <alignment horizontal="center" vertical="center"/>
    </xf>
    <xf numFmtId="0" fontId="4" fillId="4" borderId="5" xfId="0" applyFont="1" applyFill="1" applyBorder="1" applyAlignment="1">
      <alignment horizontal="center" vertical="center"/>
    </xf>
    <xf numFmtId="43" fontId="4" fillId="4" borderId="6" xfId="8" applyFont="1" applyFill="1" applyBorder="1" applyAlignment="1">
      <alignment horizontal="center" vertical="center"/>
    </xf>
    <xf numFmtId="0" fontId="5" fillId="3" borderId="29" xfId="0" applyFont="1" applyFill="1" applyBorder="1" applyAlignment="1">
      <alignment horizontal="left" indent="1"/>
    </xf>
    <xf numFmtId="0" fontId="5" fillId="3" borderId="30" xfId="0" applyFont="1" applyFill="1" applyBorder="1" applyAlignment="1">
      <alignment horizontal="center"/>
    </xf>
    <xf numFmtId="0" fontId="10" fillId="3" borderId="16" xfId="0" applyFont="1" applyFill="1" applyBorder="1" applyAlignment="1">
      <alignment horizontal="center"/>
    </xf>
    <xf numFmtId="10" fontId="10" fillId="3" borderId="16" xfId="0" applyNumberFormat="1" applyFont="1" applyFill="1" applyBorder="1" applyAlignment="1">
      <alignment horizontal="right"/>
    </xf>
    <xf numFmtId="166" fontId="10" fillId="3" borderId="31" xfId="1" applyFont="1" applyFill="1" applyBorder="1" applyAlignment="1">
      <alignment horizontal="right"/>
    </xf>
    <xf numFmtId="40" fontId="10" fillId="3" borderId="31" xfId="1" applyNumberFormat="1" applyFont="1" applyFill="1" applyBorder="1" applyAlignment="1">
      <alignment horizontal="right"/>
    </xf>
    <xf numFmtId="0" fontId="10" fillId="3" borderId="29" xfId="0" applyFont="1" applyFill="1" applyBorder="1" applyAlignment="1">
      <alignment horizontal="left" indent="4"/>
    </xf>
    <xf numFmtId="0" fontId="10" fillId="3" borderId="30" xfId="0" applyFont="1" applyFill="1" applyBorder="1" applyAlignment="1">
      <alignment horizontal="center"/>
    </xf>
    <xf numFmtId="10" fontId="10" fillId="3" borderId="16" xfId="3" applyNumberFormat="1" applyFont="1" applyFill="1" applyBorder="1" applyAlignment="1">
      <alignment horizontal="center"/>
    </xf>
    <xf numFmtId="166" fontId="10" fillId="3" borderId="31" xfId="1" applyFont="1" applyFill="1" applyBorder="1" applyAlignment="1">
      <alignment horizontal="center"/>
    </xf>
    <xf numFmtId="40" fontId="10" fillId="3" borderId="31" xfId="1" applyNumberFormat="1" applyFont="1" applyFill="1" applyBorder="1" applyAlignment="1">
      <alignment horizontal="center"/>
    </xf>
    <xf numFmtId="0" fontId="5" fillId="3" borderId="16" xfId="0" applyFont="1" applyFill="1" applyBorder="1" applyAlignment="1">
      <alignment horizontal="center"/>
    </xf>
    <xf numFmtId="10" fontId="5" fillId="3" borderId="16" xfId="3" applyNumberFormat="1" applyFont="1" applyFill="1" applyBorder="1" applyAlignment="1">
      <alignment horizontal="center"/>
    </xf>
    <xf numFmtId="166" fontId="5" fillId="3" borderId="16" xfId="1" applyFont="1" applyFill="1" applyBorder="1" applyAlignment="1">
      <alignment horizontal="center"/>
    </xf>
    <xf numFmtId="40" fontId="5" fillId="3" borderId="31" xfId="1" applyNumberFormat="1" applyFont="1" applyFill="1" applyBorder="1" applyAlignment="1">
      <alignment horizontal="center"/>
    </xf>
    <xf numFmtId="10" fontId="10" fillId="3" borderId="16" xfId="0" applyNumberFormat="1" applyFont="1" applyFill="1" applyBorder="1"/>
    <xf numFmtId="166" fontId="10" fillId="3" borderId="31" xfId="1" applyFont="1" applyFill="1" applyBorder="1"/>
    <xf numFmtId="40" fontId="10" fillId="3" borderId="31" xfId="1" applyNumberFormat="1" applyFont="1" applyFill="1" applyBorder="1"/>
    <xf numFmtId="40" fontId="5" fillId="3" borderId="16" xfId="1" applyNumberFormat="1" applyFont="1" applyFill="1" applyBorder="1" applyAlignment="1">
      <alignment horizontal="center"/>
    </xf>
    <xf numFmtId="0" fontId="5" fillId="0" borderId="12" xfId="0" applyFont="1" applyBorder="1"/>
    <xf numFmtId="0" fontId="5" fillId="0" borderId="13" xfId="0" applyFont="1" applyBorder="1" applyAlignment="1">
      <alignment horizontal="center"/>
    </xf>
    <xf numFmtId="0" fontId="5" fillId="0" borderId="13" xfId="0" applyFont="1" applyBorder="1"/>
    <xf numFmtId="10" fontId="5" fillId="0" borderId="13" xfId="0" applyNumberFormat="1" applyFont="1" applyBorder="1" applyAlignment="1">
      <alignment horizontal="center"/>
    </xf>
    <xf numFmtId="166" fontId="5" fillId="0" borderId="13" xfId="1" applyFont="1" applyBorder="1" applyAlignment="1">
      <alignment horizontal="center"/>
    </xf>
    <xf numFmtId="171" fontId="10" fillId="0" borderId="0" xfId="0" applyNumberFormat="1" applyFont="1" applyAlignment="1">
      <alignment horizontal="left"/>
    </xf>
    <xf numFmtId="10" fontId="10" fillId="0" borderId="0" xfId="3" applyNumberFormat="1" applyFont="1" applyAlignment="1">
      <alignment horizontal="left"/>
    </xf>
    <xf numFmtId="10" fontId="10" fillId="0" borderId="0" xfId="3" applyNumberFormat="1" applyFont="1"/>
    <xf numFmtId="166" fontId="10" fillId="0" borderId="0" xfId="1" applyFont="1"/>
    <xf numFmtId="0" fontId="4" fillId="4" borderId="19" xfId="0" applyFont="1" applyFill="1" applyBorder="1"/>
    <xf numFmtId="10" fontId="4" fillId="4" borderId="6" xfId="3" applyNumberFormat="1" applyFont="1" applyFill="1" applyBorder="1"/>
    <xf numFmtId="10" fontId="10" fillId="0" borderId="0" xfId="3" applyNumberFormat="1" applyFont="1" applyBorder="1"/>
    <xf numFmtId="0" fontId="10" fillId="0" borderId="33" xfId="0" applyFont="1" applyBorder="1"/>
    <xf numFmtId="10" fontId="10" fillId="0" borderId="11" xfId="3" applyNumberFormat="1" applyFont="1" applyBorder="1"/>
    <xf numFmtId="10" fontId="10" fillId="0" borderId="0" xfId="0" applyNumberFormat="1" applyFont="1"/>
    <xf numFmtId="0" fontId="10" fillId="0" borderId="32" xfId="0" applyFont="1" applyBorder="1"/>
    <xf numFmtId="10" fontId="10" fillId="0" borderId="14" xfId="3" applyNumberFormat="1" applyFont="1" applyBorder="1"/>
    <xf numFmtId="10" fontId="10" fillId="0" borderId="0" xfId="1" applyNumberFormat="1" applyFont="1"/>
    <xf numFmtId="0" fontId="4" fillId="4" borderId="4" xfId="0" applyFont="1" applyFill="1" applyBorder="1"/>
    <xf numFmtId="10" fontId="4" fillId="4" borderId="5" xfId="3" applyNumberFormat="1" applyFont="1" applyFill="1" applyBorder="1"/>
    <xf numFmtId="0" fontId="4" fillId="4" borderId="5" xfId="0" applyFont="1" applyFill="1" applyBorder="1"/>
    <xf numFmtId="166" fontId="4" fillId="4" borderId="5" xfId="1" applyFont="1" applyFill="1" applyBorder="1"/>
    <xf numFmtId="0" fontId="5" fillId="6" borderId="33" xfId="0" applyFont="1" applyFill="1" applyBorder="1"/>
    <xf numFmtId="168" fontId="10" fillId="0" borderId="0" xfId="3" applyNumberFormat="1" applyFont="1" applyBorder="1"/>
    <xf numFmtId="0" fontId="10" fillId="6" borderId="33" xfId="0" applyFont="1" applyFill="1" applyBorder="1" applyAlignment="1">
      <alignment horizontal="center"/>
    </xf>
    <xf numFmtId="169" fontId="10" fillId="0" borderId="0" xfId="3" applyNumberFormat="1" applyFont="1" applyBorder="1"/>
    <xf numFmtId="0" fontId="10" fillId="6" borderId="32" xfId="0" applyFont="1" applyFill="1" applyBorder="1"/>
    <xf numFmtId="0" fontId="10" fillId="0" borderId="13" xfId="0" applyFont="1" applyBorder="1"/>
    <xf numFmtId="10" fontId="5" fillId="0" borderId="13" xfId="3" applyNumberFormat="1" applyFont="1" applyBorder="1"/>
    <xf numFmtId="168" fontId="10" fillId="0" borderId="13" xfId="3" applyNumberFormat="1" applyFont="1" applyBorder="1"/>
    <xf numFmtId="10" fontId="5" fillId="0" borderId="0" xfId="3" applyNumberFormat="1" applyFont="1" applyBorder="1"/>
    <xf numFmtId="37" fontId="11" fillId="0" borderId="0" xfId="0" applyNumberFormat="1" applyFont="1"/>
    <xf numFmtId="40" fontId="4" fillId="2" borderId="24" xfId="5" applyNumberFormat="1" applyFont="1" applyFill="1" applyBorder="1" applyAlignment="1" applyProtection="1">
      <alignment horizontal="center"/>
    </xf>
    <xf numFmtId="40" fontId="4" fillId="2" borderId="25" xfId="5" applyNumberFormat="1" applyFont="1" applyFill="1" applyBorder="1" applyAlignment="1" applyProtection="1">
      <alignment horizontal="center"/>
    </xf>
    <xf numFmtId="14" fontId="8" fillId="0" borderId="20" xfId="7" applyNumberFormat="1" applyFont="1" applyBorder="1" applyAlignment="1">
      <alignment wrapText="1"/>
    </xf>
    <xf numFmtId="40" fontId="8" fillId="0" borderId="21" xfId="7" applyNumberFormat="1" applyFont="1" applyBorder="1" applyAlignment="1">
      <alignment wrapText="1"/>
    </xf>
    <xf numFmtId="172" fontId="11" fillId="0" borderId="0" xfId="1" applyNumberFormat="1" applyFont="1"/>
    <xf numFmtId="166" fontId="0" fillId="0" borderId="0" xfId="1" applyFont="1"/>
    <xf numFmtId="0" fontId="2" fillId="0" borderId="34" xfId="0" applyFont="1" applyBorder="1"/>
    <xf numFmtId="169" fontId="9" fillId="0" borderId="9" xfId="0" applyNumberFormat="1" applyFont="1" applyBorder="1" applyAlignment="1">
      <alignment wrapText="1"/>
    </xf>
    <xf numFmtId="166" fontId="0" fillId="0" borderId="0" xfId="0" applyNumberFormat="1"/>
    <xf numFmtId="166" fontId="5" fillId="3" borderId="31" xfId="1" applyFont="1" applyFill="1" applyBorder="1" applyAlignment="1">
      <alignment horizontal="center"/>
    </xf>
    <xf numFmtId="179" fontId="10" fillId="0" borderId="0" xfId="2" applyNumberFormat="1" applyFont="1" applyBorder="1"/>
    <xf numFmtId="179" fontId="5" fillId="0" borderId="13" xfId="2" applyNumberFormat="1" applyFont="1" applyBorder="1"/>
    <xf numFmtId="179" fontId="4" fillId="4" borderId="5" xfId="2" applyNumberFormat="1" applyFont="1" applyFill="1" applyBorder="1"/>
    <xf numFmtId="164" fontId="4" fillId="4" borderId="6" xfId="1" applyNumberFormat="1" applyFont="1" applyFill="1" applyBorder="1"/>
    <xf numFmtId="164" fontId="10" fillId="0" borderId="11" xfId="2" applyNumberFormat="1" applyFont="1" applyBorder="1"/>
    <xf numFmtId="164" fontId="5" fillId="0" borderId="14" xfId="2" applyNumberFormat="1" applyFont="1" applyBorder="1"/>
    <xf numFmtId="164" fontId="4" fillId="4" borderId="6" xfId="2" applyNumberFormat="1" applyFont="1" applyFill="1" applyBorder="1"/>
    <xf numFmtId="40" fontId="4" fillId="2" borderId="44" xfId="5" applyNumberFormat="1" applyFont="1" applyFill="1" applyBorder="1" applyAlignment="1" applyProtection="1">
      <alignment horizontal="center"/>
    </xf>
    <xf numFmtId="2" fontId="9" fillId="0" borderId="45" xfId="3" applyNumberFormat="1" applyFont="1" applyBorder="1" applyAlignment="1">
      <alignment wrapText="1"/>
    </xf>
    <xf numFmtId="173" fontId="15" fillId="0" borderId="16" xfId="10" applyNumberFormat="1" applyFont="1" applyBorder="1" applyAlignment="1">
      <alignment horizontal="left"/>
    </xf>
    <xf numFmtId="0" fontId="16" fillId="0" borderId="16" xfId="10" applyFont="1" applyBorder="1" applyAlignment="1">
      <alignment horizontal="left"/>
    </xf>
    <xf numFmtId="165" fontId="16" fillId="0" borderId="16" xfId="10" applyNumberFormat="1" applyFont="1" applyBorder="1" applyAlignment="1">
      <alignment horizontal="left"/>
    </xf>
    <xf numFmtId="165" fontId="16" fillId="0" borderId="16" xfId="8" applyNumberFormat="1" applyFont="1" applyFill="1" applyBorder="1" applyAlignment="1">
      <alignment horizontal="left"/>
    </xf>
    <xf numFmtId="165" fontId="15" fillId="0" borderId="16" xfId="10" applyNumberFormat="1" applyFont="1" applyBorder="1" applyAlignment="1">
      <alignment horizontal="left"/>
    </xf>
    <xf numFmtId="43" fontId="15" fillId="0" borderId="16" xfId="8" applyFont="1" applyBorder="1" applyAlignment="1">
      <alignment horizontal="left"/>
    </xf>
    <xf numFmtId="4" fontId="15" fillId="0" borderId="16" xfId="10" applyNumberFormat="1" applyFont="1" applyBorder="1" applyAlignment="1">
      <alignment horizontal="left"/>
    </xf>
    <xf numFmtId="0" fontId="16" fillId="7" borderId="16" xfId="10" applyFont="1" applyFill="1" applyBorder="1" applyAlignment="1">
      <alignment horizontal="left"/>
    </xf>
    <xf numFmtId="166" fontId="17" fillId="0" borderId="16" xfId="0" applyNumberFormat="1" applyFont="1" applyBorder="1" applyAlignment="1">
      <alignment horizontal="left"/>
    </xf>
    <xf numFmtId="165" fontId="17" fillId="0" borderId="0" xfId="0" applyNumberFormat="1" applyFont="1" applyAlignment="1">
      <alignment horizontal="left"/>
    </xf>
    <xf numFmtId="0" fontId="17" fillId="0" borderId="16" xfId="0" applyFont="1" applyBorder="1" applyAlignment="1">
      <alignment horizontal="left"/>
    </xf>
    <xf numFmtId="0" fontId="17" fillId="0" borderId="0" xfId="0" applyFont="1" applyAlignment="1">
      <alignment horizontal="left"/>
    </xf>
    <xf numFmtId="4" fontId="18" fillId="0" borderId="16" xfId="0" applyNumberFormat="1" applyFont="1" applyBorder="1" applyAlignment="1">
      <alignment horizontal="left"/>
    </xf>
    <xf numFmtId="174" fontId="17" fillId="0" borderId="0" xfId="0" applyNumberFormat="1" applyFont="1" applyAlignment="1">
      <alignment horizontal="left"/>
    </xf>
    <xf numFmtId="43" fontId="17" fillId="0" borderId="0" xfId="0" applyNumberFormat="1" applyFont="1" applyAlignment="1">
      <alignment horizontal="left"/>
    </xf>
    <xf numFmtId="176" fontId="17" fillId="0" borderId="0" xfId="0" applyNumberFormat="1" applyFont="1" applyAlignment="1">
      <alignment horizontal="left"/>
    </xf>
    <xf numFmtId="166" fontId="19" fillId="8" borderId="37" xfId="9" applyNumberFormat="1" applyFont="1" applyFill="1" applyBorder="1" applyAlignment="1">
      <alignment horizontal="left"/>
    </xf>
    <xf numFmtId="10" fontId="17" fillId="0" borderId="0" xfId="3" applyNumberFormat="1" applyFont="1" applyAlignment="1">
      <alignment horizontal="left"/>
    </xf>
    <xf numFmtId="164" fontId="17" fillId="0" borderId="0" xfId="0" applyNumberFormat="1" applyFont="1" applyAlignment="1">
      <alignment horizontal="left"/>
    </xf>
    <xf numFmtId="10" fontId="17" fillId="0" borderId="0" xfId="0" applyNumberFormat="1" applyFont="1" applyAlignment="1">
      <alignment horizontal="left"/>
    </xf>
    <xf numFmtId="177" fontId="17" fillId="0" borderId="0" xfId="3" applyNumberFormat="1" applyFont="1" applyAlignment="1">
      <alignment horizontal="left"/>
    </xf>
    <xf numFmtId="43" fontId="17" fillId="0" borderId="0" xfId="8" applyFont="1" applyAlignment="1">
      <alignment horizontal="left"/>
    </xf>
    <xf numFmtId="178" fontId="17" fillId="0" borderId="0" xfId="0" applyNumberFormat="1" applyFont="1" applyAlignment="1">
      <alignment horizontal="left"/>
    </xf>
    <xf numFmtId="166" fontId="18" fillId="0" borderId="16" xfId="11" applyFont="1" applyBorder="1" applyAlignment="1">
      <alignment horizontal="left"/>
    </xf>
    <xf numFmtId="175" fontId="20" fillId="4" borderId="16" xfId="12" applyNumberFormat="1" applyFont="1" applyFill="1" applyBorder="1" applyAlignment="1">
      <alignment horizontal="left"/>
    </xf>
    <xf numFmtId="43" fontId="20" fillId="4" borderId="16" xfId="12" applyNumberFormat="1" applyFont="1" applyFill="1" applyBorder="1" applyAlignment="1">
      <alignment horizontal="left"/>
    </xf>
    <xf numFmtId="43" fontId="20" fillId="4" borderId="31" xfId="12" applyNumberFormat="1" applyFont="1" applyFill="1" applyBorder="1" applyAlignment="1">
      <alignment horizontal="left"/>
    </xf>
    <xf numFmtId="43" fontId="20" fillId="4" borderId="38" xfId="12" applyNumberFormat="1" applyFont="1" applyFill="1" applyBorder="1" applyAlignment="1">
      <alignment horizontal="left"/>
    </xf>
    <xf numFmtId="174" fontId="16" fillId="0" borderId="16" xfId="10" applyNumberFormat="1" applyFont="1" applyBorder="1" applyAlignment="1">
      <alignment horizontal="left"/>
    </xf>
    <xf numFmtId="2" fontId="16" fillId="0" borderId="16" xfId="10" applyNumberFormat="1" applyFont="1" applyBorder="1" applyAlignment="1">
      <alignment horizontal="left"/>
    </xf>
    <xf numFmtId="173" fontId="15" fillId="0" borderId="16" xfId="10" applyNumberFormat="1" applyFont="1" applyBorder="1" applyAlignment="1">
      <alignment horizontal="left" vertical="top"/>
    </xf>
    <xf numFmtId="175" fontId="17" fillId="0" borderId="16" xfId="8" applyNumberFormat="1" applyFont="1" applyBorder="1" applyAlignment="1">
      <alignment horizontal="left"/>
    </xf>
    <xf numFmtId="175" fontId="17" fillId="0" borderId="31" xfId="8" applyNumberFormat="1" applyFont="1" applyBorder="1" applyAlignment="1">
      <alignment horizontal="left"/>
    </xf>
    <xf numFmtId="10" fontId="17" fillId="0" borderId="16" xfId="3" applyNumberFormat="1" applyFont="1" applyBorder="1" applyAlignment="1">
      <alignment horizontal="left"/>
    </xf>
    <xf numFmtId="174" fontId="16" fillId="7" borderId="16" xfId="10" applyNumberFormat="1" applyFont="1" applyFill="1" applyBorder="1" applyAlignment="1">
      <alignment horizontal="left"/>
    </xf>
    <xf numFmtId="2" fontId="16" fillId="7" borderId="16" xfId="10" applyNumberFormat="1" applyFont="1" applyFill="1" applyBorder="1" applyAlignment="1">
      <alignment horizontal="left"/>
    </xf>
    <xf numFmtId="0" fontId="17" fillId="0" borderId="36" xfId="0" applyFont="1" applyBorder="1" applyAlignment="1">
      <alignment horizontal="left"/>
    </xf>
    <xf numFmtId="175" fontId="17" fillId="0" borderId="36" xfId="8" applyNumberFormat="1" applyFont="1" applyBorder="1" applyAlignment="1">
      <alignment horizontal="left"/>
    </xf>
    <xf numFmtId="0" fontId="17" fillId="0" borderId="35" xfId="0" applyFont="1" applyBorder="1" applyAlignment="1">
      <alignment horizontal="left"/>
    </xf>
    <xf numFmtId="175" fontId="17" fillId="0" borderId="35" xfId="0" applyNumberFormat="1" applyFont="1" applyBorder="1" applyAlignment="1">
      <alignment horizontal="left"/>
    </xf>
    <xf numFmtId="43" fontId="17" fillId="0" borderId="40" xfId="8" applyFont="1" applyBorder="1" applyAlignment="1">
      <alignment horizontal="left"/>
    </xf>
    <xf numFmtId="0" fontId="18" fillId="0" borderId="41" xfId="0" applyFont="1" applyBorder="1" applyAlignment="1">
      <alignment horizontal="left"/>
    </xf>
    <xf numFmtId="0" fontId="17" fillId="0" borderId="42" xfId="0" applyFont="1" applyBorder="1" applyAlignment="1">
      <alignment horizontal="left"/>
    </xf>
    <xf numFmtId="175" fontId="18" fillId="0" borderId="42" xfId="0" applyNumberFormat="1" applyFont="1" applyBorder="1" applyAlignment="1">
      <alignment horizontal="left"/>
    </xf>
    <xf numFmtId="175" fontId="18" fillId="0" borderId="43" xfId="0" applyNumberFormat="1" applyFont="1" applyBorder="1" applyAlignment="1">
      <alignment horizontal="left"/>
    </xf>
    <xf numFmtId="10" fontId="17" fillId="0" borderId="0" xfId="3" applyNumberFormat="1" applyFont="1" applyFill="1" applyBorder="1" applyAlignment="1">
      <alignment horizontal="left"/>
    </xf>
    <xf numFmtId="0" fontId="21" fillId="0" borderId="0" xfId="0" applyFont="1" applyAlignment="1">
      <alignment horizontal="left"/>
    </xf>
    <xf numFmtId="4" fontId="17" fillId="0" borderId="0" xfId="0" applyNumberFormat="1" applyFont="1"/>
    <xf numFmtId="2" fontId="0" fillId="0" borderId="0" xfId="0" applyNumberFormat="1"/>
    <xf numFmtId="0" fontId="4" fillId="4" borderId="0" xfId="0" applyFont="1" applyFill="1" applyAlignment="1">
      <alignment horizontal="center" vertical="center"/>
    </xf>
    <xf numFmtId="0" fontId="22" fillId="3" borderId="29" xfId="0" applyFont="1" applyFill="1" applyBorder="1" applyAlignment="1">
      <alignment horizontal="left"/>
    </xf>
    <xf numFmtId="0" fontId="23" fillId="3" borderId="30" xfId="0" applyFont="1" applyFill="1" applyBorder="1" applyAlignment="1">
      <alignment horizontal="center"/>
    </xf>
    <xf numFmtId="0" fontId="22" fillId="3" borderId="16" xfId="0" applyFont="1" applyFill="1" applyBorder="1" applyAlignment="1">
      <alignment horizontal="center"/>
    </xf>
    <xf numFmtId="10" fontId="22" fillId="3" borderId="16" xfId="3" applyNumberFormat="1" applyFont="1" applyFill="1" applyBorder="1" applyAlignment="1">
      <alignment horizontal="center"/>
    </xf>
    <xf numFmtId="0" fontId="22" fillId="3" borderId="30" xfId="0" applyFont="1" applyFill="1" applyBorder="1" applyAlignment="1">
      <alignment horizontal="center"/>
    </xf>
    <xf numFmtId="0" fontId="23" fillId="3" borderId="16" xfId="0" applyFont="1" applyFill="1" applyBorder="1" applyAlignment="1">
      <alignment horizontal="center"/>
    </xf>
    <xf numFmtId="0" fontId="24" fillId="5" borderId="22" xfId="0" applyFont="1" applyFill="1" applyBorder="1"/>
    <xf numFmtId="0" fontId="24" fillId="5" borderId="26" xfId="0" applyFont="1" applyFill="1" applyBorder="1" applyAlignment="1">
      <alignment horizontal="center"/>
    </xf>
    <xf numFmtId="0" fontId="24" fillId="5" borderId="27" xfId="0" applyFont="1" applyFill="1" applyBorder="1" applyAlignment="1">
      <alignment horizontal="center"/>
    </xf>
    <xf numFmtId="166" fontId="24" fillId="5" borderId="28" xfId="1" applyFont="1" applyFill="1" applyBorder="1" applyAlignment="1">
      <alignment horizontal="center"/>
    </xf>
    <xf numFmtId="40" fontId="24" fillId="5" borderId="28" xfId="1" applyNumberFormat="1" applyFont="1" applyFill="1" applyBorder="1" applyAlignment="1">
      <alignment horizontal="center"/>
    </xf>
    <xf numFmtId="0" fontId="24" fillId="5" borderId="23" xfId="0" applyFont="1" applyFill="1" applyBorder="1" applyAlignment="1">
      <alignment horizontal="center"/>
    </xf>
    <xf numFmtId="0" fontId="25" fillId="0" borderId="0" xfId="0" applyFont="1"/>
    <xf numFmtId="166" fontId="5" fillId="0" borderId="13" xfId="0" applyNumberFormat="1" applyFont="1" applyBorder="1" applyAlignment="1">
      <alignment horizontal="center"/>
    </xf>
    <xf numFmtId="0" fontId="0" fillId="0" borderId="16" xfId="0" applyBorder="1"/>
    <xf numFmtId="40" fontId="14" fillId="0" borderId="16" xfId="9" applyNumberFormat="1" applyBorder="1" applyAlignment="1">
      <alignment wrapText="1"/>
    </xf>
    <xf numFmtId="43" fontId="0" fillId="0" borderId="0" xfId="0" applyNumberFormat="1"/>
    <xf numFmtId="0" fontId="26" fillId="0" borderId="16" xfId="0" applyFont="1" applyBorder="1"/>
    <xf numFmtId="0" fontId="27" fillId="0" borderId="0" xfId="0" applyFont="1" applyAlignment="1">
      <alignment horizontal="left" vertical="center"/>
    </xf>
    <xf numFmtId="40" fontId="4" fillId="2" borderId="16" xfId="4" applyNumberFormat="1" applyFont="1" applyFill="1" applyBorder="1" applyAlignment="1">
      <alignment horizontal="left"/>
    </xf>
    <xf numFmtId="40" fontId="4" fillId="2" borderId="16" xfId="5" applyNumberFormat="1" applyFont="1" applyFill="1" applyBorder="1" applyAlignment="1" applyProtection="1">
      <alignment horizontal="left"/>
    </xf>
    <xf numFmtId="10" fontId="4" fillId="2" borderId="16" xfId="3" applyNumberFormat="1" applyFont="1" applyFill="1" applyBorder="1" applyAlignment="1" applyProtection="1">
      <alignment horizontal="left"/>
    </xf>
    <xf numFmtId="0" fontId="8" fillId="0" borderId="16" xfId="7" applyFont="1" applyBorder="1" applyAlignment="1"/>
    <xf numFmtId="40" fontId="8" fillId="0" borderId="16" xfId="7" applyNumberFormat="1" applyFont="1" applyBorder="1" applyAlignment="1"/>
    <xf numFmtId="169" fontId="10" fillId="0" borderId="16" xfId="3" applyNumberFormat="1" applyFont="1" applyBorder="1" applyAlignment="1"/>
    <xf numFmtId="10" fontId="0" fillId="0" borderId="0" xfId="0" applyNumberFormat="1"/>
    <xf numFmtId="4" fontId="0" fillId="0" borderId="0" xfId="0" applyNumberFormat="1"/>
    <xf numFmtId="164" fontId="15" fillId="0" borderId="16" xfId="10" applyNumberFormat="1" applyFont="1" applyBorder="1" applyAlignment="1">
      <alignment horizontal="left"/>
    </xf>
    <xf numFmtId="15" fontId="17" fillId="0" borderId="16" xfId="0" applyNumberFormat="1" applyFont="1" applyBorder="1" applyAlignment="1">
      <alignment horizontal="left"/>
    </xf>
    <xf numFmtId="164" fontId="17" fillId="0" borderId="16" xfId="0" applyNumberFormat="1" applyFont="1" applyBorder="1" applyAlignment="1">
      <alignment horizontal="left"/>
    </xf>
    <xf numFmtId="165" fontId="17" fillId="0" borderId="16" xfId="0" applyNumberFormat="1" applyFont="1" applyBorder="1" applyAlignment="1">
      <alignment horizontal="left"/>
    </xf>
    <xf numFmtId="0" fontId="7" fillId="0" borderId="4" xfId="7" applyBorder="1" applyAlignment="1">
      <alignment wrapText="1"/>
    </xf>
    <xf numFmtId="0" fontId="7" fillId="0" borderId="5" xfId="7" applyBorder="1" applyAlignment="1">
      <alignment wrapText="1"/>
    </xf>
    <xf numFmtId="40" fontId="8" fillId="0" borderId="5" xfId="7" applyNumberFormat="1" applyFont="1" applyBorder="1" applyAlignment="1">
      <alignment wrapText="1"/>
    </xf>
    <xf numFmtId="40" fontId="12" fillId="0" borderId="5" xfId="7" applyNumberFormat="1" applyFont="1" applyBorder="1" applyAlignment="1">
      <alignment wrapText="1"/>
    </xf>
    <xf numFmtId="4" fontId="13" fillId="0" borderId="5" xfId="7" applyNumberFormat="1" applyFont="1" applyBorder="1" applyAlignment="1">
      <alignment wrapText="1"/>
    </xf>
    <xf numFmtId="169" fontId="3" fillId="0" borderId="6" xfId="0" applyNumberFormat="1" applyFont="1" applyBorder="1" applyAlignment="1">
      <alignment wrapText="1"/>
    </xf>
    <xf numFmtId="38" fontId="13" fillId="0" borderId="15" xfId="5" applyNumberFormat="1" applyFont="1" applyBorder="1"/>
    <xf numFmtId="166" fontId="13" fillId="0" borderId="15" xfId="6" applyFont="1" applyBorder="1"/>
    <xf numFmtId="167" fontId="12" fillId="0" borderId="0" xfId="5" applyFont="1"/>
    <xf numFmtId="40" fontId="8" fillId="0" borderId="16" xfId="7" applyNumberFormat="1" applyFont="1" applyBorder="1"/>
    <xf numFmtId="0" fontId="15" fillId="0" borderId="16" xfId="10" applyFont="1" applyBorder="1" applyAlignment="1">
      <alignment horizontal="right" vertical="top"/>
    </xf>
    <xf numFmtId="174" fontId="17" fillId="0" borderId="16" xfId="0" applyNumberFormat="1" applyFont="1" applyBorder="1" applyAlignment="1">
      <alignment horizontal="right"/>
    </xf>
    <xf numFmtId="43" fontId="17" fillId="0" borderId="40" xfId="8" applyFont="1" applyBorder="1" applyAlignment="1">
      <alignment horizontal="right"/>
    </xf>
    <xf numFmtId="0" fontId="17" fillId="0" borderId="16" xfId="0" applyFont="1" applyBorder="1" applyAlignment="1">
      <alignment horizontal="right"/>
    </xf>
    <xf numFmtId="166" fontId="0" fillId="0" borderId="0" xfId="1" applyFont="1" applyAlignment="1">
      <alignment horizontal="right"/>
    </xf>
    <xf numFmtId="2" fontId="0" fillId="0" borderId="0" xfId="1" applyNumberFormat="1" applyFont="1" applyAlignment="1"/>
    <xf numFmtId="166" fontId="1" fillId="0" borderId="0" xfId="1" applyFont="1"/>
    <xf numFmtId="2" fontId="0" fillId="0" borderId="0" xfId="1" applyNumberFormat="1" applyFont="1"/>
    <xf numFmtId="174" fontId="17" fillId="0" borderId="16" xfId="0" applyNumberFormat="1" applyFont="1" applyBorder="1" applyAlignment="1">
      <alignment horizontal="left"/>
    </xf>
    <xf numFmtId="166" fontId="10" fillId="0" borderId="0" xfId="1" applyFont="1" applyAlignment="1">
      <alignment horizontal="center" vertical="center"/>
    </xf>
    <xf numFmtId="0" fontId="10" fillId="0" borderId="0" xfId="1" applyNumberFormat="1" applyFont="1" applyAlignment="1">
      <alignment horizontal="center" vertical="center"/>
    </xf>
    <xf numFmtId="40" fontId="8" fillId="0" borderId="10" xfId="7" applyNumberFormat="1" applyFont="1" applyBorder="1" applyAlignment="1">
      <alignment wrapText="1"/>
    </xf>
    <xf numFmtId="0" fontId="15" fillId="0" borderId="16" xfId="10" applyFont="1" applyBorder="1" applyAlignment="1">
      <alignment horizontal="right"/>
    </xf>
    <xf numFmtId="165" fontId="17" fillId="0" borderId="16" xfId="2" applyFont="1" applyBorder="1" applyAlignment="1">
      <alignment horizontal="left"/>
    </xf>
    <xf numFmtId="165" fontId="15" fillId="0" borderId="16" xfId="2" applyFont="1" applyBorder="1" applyAlignment="1">
      <alignment horizontal="left"/>
    </xf>
    <xf numFmtId="173" fontId="15" fillId="0" borderId="36" xfId="10" applyNumberFormat="1" applyFont="1" applyBorder="1" applyAlignment="1">
      <alignment horizontal="left" vertical="top"/>
    </xf>
    <xf numFmtId="0" fontId="15" fillId="0" borderId="36" xfId="10" applyFont="1" applyBorder="1" applyAlignment="1">
      <alignment horizontal="left" vertical="top"/>
    </xf>
    <xf numFmtId="165" fontId="17" fillId="0" borderId="36" xfId="0" applyNumberFormat="1" applyFont="1" applyBorder="1" applyAlignment="1">
      <alignment horizontal="left"/>
    </xf>
    <xf numFmtId="43" fontId="17" fillId="0" borderId="46" xfId="8" applyFont="1" applyBorder="1" applyAlignment="1">
      <alignment horizontal="left"/>
    </xf>
    <xf numFmtId="175" fontId="17" fillId="0" borderId="47" xfId="0" applyNumberFormat="1" applyFont="1" applyBorder="1" applyAlignment="1">
      <alignment horizontal="left"/>
    </xf>
    <xf numFmtId="10" fontId="17" fillId="0" borderId="36" xfId="3" applyNumberFormat="1" applyFont="1" applyBorder="1" applyAlignment="1">
      <alignment horizontal="left"/>
    </xf>
    <xf numFmtId="175" fontId="17" fillId="0" borderId="16" xfId="0" applyNumberFormat="1" applyFont="1" applyBorder="1" applyAlignment="1">
      <alignment horizontal="left"/>
    </xf>
    <xf numFmtId="40" fontId="11" fillId="0" borderId="0" xfId="0" applyNumberFormat="1" applyFont="1"/>
    <xf numFmtId="15" fontId="17" fillId="0" borderId="0" xfId="0" applyNumberFormat="1" applyFont="1" applyAlignment="1">
      <alignment horizontal="left"/>
    </xf>
    <xf numFmtId="171" fontId="0" fillId="0" borderId="0" xfId="0" applyNumberFormat="1"/>
    <xf numFmtId="166" fontId="26" fillId="0" borderId="0" xfId="6" applyFont="1" applyBorder="1" applyAlignment="1" applyProtection="1"/>
    <xf numFmtId="0" fontId="21" fillId="0" borderId="16" xfId="0" applyFont="1" applyBorder="1" applyAlignment="1">
      <alignment horizontal="left"/>
    </xf>
    <xf numFmtId="165" fontId="17" fillId="0" borderId="0" xfId="2" applyFont="1" applyAlignment="1">
      <alignment horizontal="left"/>
    </xf>
    <xf numFmtId="165" fontId="15" fillId="9" borderId="16" xfId="10" applyNumberFormat="1" applyFont="1" applyFill="1" applyBorder="1" applyAlignment="1">
      <alignment horizontal="left"/>
    </xf>
    <xf numFmtId="10" fontId="0" fillId="0" borderId="0" xfId="3" applyNumberFormat="1" applyFont="1"/>
    <xf numFmtId="0" fontId="0" fillId="0" borderId="0" xfId="1" applyNumberFormat="1" applyFont="1" applyAlignment="1">
      <alignment horizontal="center"/>
    </xf>
    <xf numFmtId="40" fontId="14" fillId="0" borderId="0" xfId="9" applyNumberFormat="1" applyBorder="1" applyAlignment="1">
      <alignment wrapText="1"/>
    </xf>
    <xf numFmtId="166" fontId="17" fillId="0" borderId="0" xfId="0" applyNumberFormat="1" applyFont="1" applyAlignment="1">
      <alignment horizontal="left"/>
    </xf>
    <xf numFmtId="4" fontId="18" fillId="0" borderId="0" xfId="0" applyNumberFormat="1" applyFont="1" applyAlignment="1">
      <alignment horizontal="left"/>
    </xf>
    <xf numFmtId="0" fontId="17" fillId="10" borderId="0" xfId="0" applyFont="1" applyFill="1" applyAlignment="1">
      <alignment horizontal="left"/>
    </xf>
    <xf numFmtId="174" fontId="10" fillId="0" borderId="0" xfId="0" applyNumberFormat="1" applyFont="1"/>
    <xf numFmtId="174" fontId="0" fillId="0" borderId="0" xfId="1" applyNumberFormat="1" applyFont="1"/>
    <xf numFmtId="180" fontId="0" fillId="0" borderId="0" xfId="0" applyNumberFormat="1"/>
    <xf numFmtId="165" fontId="0" fillId="0" borderId="0" xfId="2" applyFont="1"/>
    <xf numFmtId="0" fontId="28" fillId="4" borderId="0" xfId="0" applyFont="1" applyFill="1" applyAlignment="1">
      <alignment horizontal="center"/>
    </xf>
    <xf numFmtId="173" fontId="29" fillId="0" borderId="16" xfId="10" applyNumberFormat="1" applyFont="1" applyBorder="1" applyAlignment="1">
      <alignment horizontal="left"/>
    </xf>
    <xf numFmtId="40" fontId="8" fillId="8" borderId="10" xfId="7" applyNumberFormat="1" applyFont="1" applyFill="1" applyBorder="1" applyAlignment="1">
      <alignment wrapText="1"/>
    </xf>
    <xf numFmtId="0" fontId="30" fillId="0" borderId="0" xfId="0" applyFont="1"/>
    <xf numFmtId="181" fontId="30" fillId="0" borderId="0" xfId="0" applyNumberFormat="1" applyFont="1"/>
    <xf numFmtId="169" fontId="30" fillId="0" borderId="0" xfId="0" applyNumberFormat="1" applyFont="1"/>
    <xf numFmtId="2" fontId="30" fillId="0" borderId="0" xfId="0" applyNumberFormat="1" applyFont="1"/>
    <xf numFmtId="0" fontId="30" fillId="0" borderId="0" xfId="0" applyFont="1" applyAlignment="1">
      <alignment horizontal="center"/>
    </xf>
    <xf numFmtId="166" fontId="17" fillId="0" borderId="16" xfId="1" applyFont="1" applyBorder="1" applyAlignment="1">
      <alignment horizontal="left"/>
    </xf>
    <xf numFmtId="0" fontId="32" fillId="0" borderId="47" xfId="0" applyFont="1" applyBorder="1" applyAlignment="1">
      <alignment horizontal="left"/>
    </xf>
    <xf numFmtId="165" fontId="32" fillId="0" borderId="47" xfId="0" applyNumberFormat="1" applyFont="1" applyBorder="1"/>
    <xf numFmtId="0" fontId="32" fillId="7" borderId="50" xfId="0" applyFont="1" applyFill="1" applyBorder="1" applyAlignment="1">
      <alignment horizontal="left"/>
    </xf>
    <xf numFmtId="165" fontId="31" fillId="0" borderId="47" xfId="0" applyNumberFormat="1" applyFont="1" applyBorder="1"/>
    <xf numFmtId="0" fontId="0" fillId="0" borderId="52" xfId="0" applyBorder="1"/>
    <xf numFmtId="0" fontId="32" fillId="7" borderId="0" xfId="0" applyFont="1" applyFill="1" applyAlignment="1">
      <alignment horizontal="left"/>
    </xf>
    <xf numFmtId="0" fontId="0" fillId="0" borderId="48" xfId="0" applyBorder="1"/>
    <xf numFmtId="0" fontId="0" fillId="0" borderId="51" xfId="0" applyBorder="1"/>
    <xf numFmtId="0" fontId="0" fillId="0" borderId="50" xfId="0" applyBorder="1"/>
    <xf numFmtId="0" fontId="0" fillId="0" borderId="53" xfId="0" applyBorder="1"/>
    <xf numFmtId="0" fontId="32" fillId="7" borderId="47" xfId="0" applyFont="1" applyFill="1" applyBorder="1" applyAlignment="1">
      <alignment horizontal="center"/>
    </xf>
    <xf numFmtId="0" fontId="32" fillId="7" borderId="49" xfId="0" applyFont="1" applyFill="1" applyBorder="1" applyAlignment="1">
      <alignment horizontal="center"/>
    </xf>
    <xf numFmtId="0" fontId="32" fillId="7" borderId="47" xfId="0" applyFont="1" applyFill="1" applyBorder="1"/>
    <xf numFmtId="4" fontId="33" fillId="0" borderId="47" xfId="0" applyNumberFormat="1" applyFont="1" applyBorder="1" applyAlignment="1">
      <alignment horizontal="center"/>
    </xf>
    <xf numFmtId="165" fontId="18" fillId="0" borderId="47" xfId="0" applyNumberFormat="1" applyFont="1" applyBorder="1"/>
    <xf numFmtId="166" fontId="11" fillId="0" borderId="0" xfId="0" applyNumberFormat="1" applyFont="1"/>
    <xf numFmtId="40" fontId="8" fillId="8" borderId="8" xfId="7" applyNumberFormat="1" applyFont="1" applyFill="1" applyBorder="1" applyAlignment="1">
      <alignment wrapText="1"/>
    </xf>
    <xf numFmtId="0" fontId="6" fillId="0" borderId="0" xfId="0" applyFont="1"/>
    <xf numFmtId="166" fontId="6" fillId="0" borderId="0" xfId="0" applyNumberFormat="1" applyFont="1"/>
    <xf numFmtId="166" fontId="6" fillId="0" borderId="0" xfId="1" applyFont="1"/>
    <xf numFmtId="0" fontId="18" fillId="0" borderId="39" xfId="0" applyFont="1" applyBorder="1"/>
    <xf numFmtId="3" fontId="17" fillId="0" borderId="39" xfId="0" applyNumberFormat="1" applyFont="1" applyBorder="1" applyAlignment="1">
      <alignment horizontal="center"/>
    </xf>
    <xf numFmtId="4" fontId="17" fillId="0" borderId="39" xfId="0" applyNumberFormat="1" applyFont="1" applyBorder="1" applyAlignment="1">
      <alignment horizontal="center"/>
    </xf>
    <xf numFmtId="165" fontId="18" fillId="0" borderId="39" xfId="0" applyNumberFormat="1" applyFont="1" applyBorder="1"/>
    <xf numFmtId="181" fontId="18" fillId="0" borderId="35" xfId="0" applyNumberFormat="1" applyFont="1" applyBorder="1" applyAlignment="1">
      <alignment horizontal="center"/>
    </xf>
    <xf numFmtId="165" fontId="17" fillId="0" borderId="50" xfId="0" applyNumberFormat="1" applyFont="1" applyBorder="1"/>
    <xf numFmtId="0" fontId="18" fillId="0" borderId="50" xfId="0" applyFont="1" applyBorder="1"/>
    <xf numFmtId="0" fontId="18" fillId="0" borderId="47" xfId="0" applyFont="1" applyBorder="1"/>
    <xf numFmtId="177" fontId="11" fillId="0" borderId="0" xfId="0" applyNumberFormat="1" applyFont="1"/>
    <xf numFmtId="166" fontId="2" fillId="0" borderId="34" xfId="1" applyFont="1" applyBorder="1"/>
    <xf numFmtId="0" fontId="13" fillId="0" borderId="0" xfId="0" applyFont="1"/>
    <xf numFmtId="182" fontId="17" fillId="0" borderId="46" xfId="0" applyNumberFormat="1" applyFont="1" applyBorder="1" applyAlignment="1">
      <alignment horizontal="left"/>
    </xf>
    <xf numFmtId="165" fontId="17" fillId="0" borderId="47" xfId="0" applyNumberFormat="1" applyFont="1" applyBorder="1"/>
    <xf numFmtId="0" fontId="17" fillId="0" borderId="47" xfId="0" applyFont="1" applyBorder="1"/>
    <xf numFmtId="3" fontId="17" fillId="0" borderId="47" xfId="0" applyNumberFormat="1" applyFont="1" applyBorder="1"/>
    <xf numFmtId="4" fontId="17" fillId="0" borderId="47" xfId="0" applyNumberFormat="1" applyFont="1" applyBorder="1"/>
    <xf numFmtId="15" fontId="17" fillId="0" borderId="46" xfId="0" applyNumberFormat="1" applyFont="1" applyBorder="1" applyAlignment="1">
      <alignment horizontal="left"/>
    </xf>
    <xf numFmtId="0" fontId="17" fillId="0" borderId="47" xfId="0" applyFont="1" applyBorder="1" applyAlignment="1">
      <alignment horizontal="left"/>
    </xf>
    <xf numFmtId="15" fontId="17" fillId="0" borderId="46" xfId="0" applyNumberFormat="1" applyFont="1" applyBorder="1"/>
    <xf numFmtId="0" fontId="17" fillId="0" borderId="46" xfId="0" applyFont="1" applyBorder="1"/>
    <xf numFmtId="0" fontId="17" fillId="0" borderId="39" xfId="0" applyFont="1" applyBorder="1"/>
    <xf numFmtId="3" fontId="17" fillId="0" borderId="47" xfId="0" applyNumberFormat="1" applyFont="1" applyBorder="1" applyAlignment="1">
      <alignment horizontal="center"/>
    </xf>
    <xf numFmtId="4" fontId="17" fillId="0" borderId="47" xfId="0" applyNumberFormat="1" applyFont="1" applyBorder="1" applyAlignment="1">
      <alignment horizontal="center"/>
    </xf>
    <xf numFmtId="181" fontId="17" fillId="0" borderId="49" xfId="0" applyNumberFormat="1" applyFont="1" applyBorder="1" applyAlignment="1">
      <alignment horizontal="center"/>
    </xf>
    <xf numFmtId="165" fontId="18" fillId="0" borderId="49" xfId="0" applyNumberFormat="1" applyFont="1" applyBorder="1"/>
    <xf numFmtId="165" fontId="17" fillId="0" borderId="49" xfId="0" applyNumberFormat="1" applyFont="1" applyBorder="1"/>
    <xf numFmtId="0" fontId="17" fillId="0" borderId="49" xfId="0" applyFont="1" applyBorder="1"/>
    <xf numFmtId="181" fontId="18" fillId="0" borderId="35" xfId="0" applyNumberFormat="1" applyFont="1" applyBorder="1" applyAlignment="1">
      <alignment horizontal="left"/>
    </xf>
    <xf numFmtId="1" fontId="15" fillId="0" borderId="16" xfId="10" applyNumberFormat="1" applyFont="1" applyBorder="1" applyAlignment="1">
      <alignment horizontal="right" vertical="top"/>
    </xf>
    <xf numFmtId="0" fontId="0" fillId="0" borderId="54" xfId="0" applyBorder="1"/>
    <xf numFmtId="15" fontId="17" fillId="0" borderId="16" xfId="0" applyNumberFormat="1" applyFont="1" applyBorder="1"/>
    <xf numFmtId="0" fontId="17" fillId="0" borderId="16" xfId="0" applyFont="1" applyBorder="1"/>
    <xf numFmtId="165" fontId="17" fillId="0" borderId="16" xfId="0" applyNumberFormat="1" applyFont="1" applyBorder="1"/>
    <xf numFmtId="0" fontId="17" fillId="0" borderId="0" xfId="0" applyFont="1"/>
    <xf numFmtId="3" fontId="17" fillId="0" borderId="50" xfId="0" applyNumberFormat="1" applyFont="1" applyBorder="1"/>
    <xf numFmtId="4" fontId="17" fillId="0" borderId="50" xfId="0" applyNumberFormat="1" applyFont="1" applyBorder="1"/>
    <xf numFmtId="4" fontId="31" fillId="0" borderId="47" xfId="0" applyNumberFormat="1" applyFont="1" applyBorder="1" applyAlignment="1">
      <alignment horizontal="center"/>
    </xf>
    <xf numFmtId="3" fontId="17" fillId="0" borderId="0" xfId="0" applyNumberFormat="1" applyFont="1" applyAlignment="1">
      <alignment horizontal="center"/>
    </xf>
    <xf numFmtId="4" fontId="17" fillId="0" borderId="0" xfId="0" applyNumberFormat="1" applyFont="1" applyAlignment="1">
      <alignment horizontal="center"/>
    </xf>
    <xf numFmtId="165" fontId="18" fillId="0" borderId="0" xfId="0" applyNumberFormat="1" applyFont="1"/>
    <xf numFmtId="165" fontId="18" fillId="0" borderId="50" xfId="0" applyNumberFormat="1" applyFont="1" applyBorder="1"/>
    <xf numFmtId="181" fontId="18" fillId="0" borderId="0" xfId="0" applyNumberFormat="1" applyFont="1" applyAlignment="1">
      <alignment horizontal="center"/>
    </xf>
    <xf numFmtId="166" fontId="16" fillId="7" borderId="16" xfId="10" applyNumberFormat="1" applyFont="1" applyFill="1" applyBorder="1" applyAlignment="1">
      <alignment horizontal="left"/>
    </xf>
    <xf numFmtId="15" fontId="31" fillId="0" borderId="16" xfId="0" applyNumberFormat="1" applyFont="1" applyBorder="1" applyAlignment="1">
      <alignment horizontal="left"/>
    </xf>
    <xf numFmtId="165" fontId="31" fillId="0" borderId="16" xfId="10" applyNumberFormat="1" applyFont="1" applyBorder="1" applyAlignment="1">
      <alignment horizontal="right"/>
    </xf>
    <xf numFmtId="165" fontId="31" fillId="0" borderId="16" xfId="0" applyNumberFormat="1" applyFont="1" applyBorder="1" applyAlignment="1">
      <alignment horizontal="right"/>
    </xf>
    <xf numFmtId="165" fontId="31" fillId="0" borderId="16" xfId="2" applyFont="1" applyBorder="1" applyAlignment="1">
      <alignment horizontal="right"/>
    </xf>
    <xf numFmtId="173" fontId="31" fillId="7" borderId="16" xfId="10" applyNumberFormat="1" applyFont="1" applyFill="1" applyBorder="1" applyAlignment="1">
      <alignment horizontal="left"/>
    </xf>
    <xf numFmtId="173" fontId="31" fillId="0" borderId="16" xfId="10" applyNumberFormat="1" applyFont="1" applyBorder="1" applyAlignment="1">
      <alignment horizontal="left"/>
    </xf>
    <xf numFmtId="165" fontId="31" fillId="11" borderId="16" xfId="0" applyNumberFormat="1" applyFont="1" applyFill="1" applyBorder="1" applyAlignment="1">
      <alignment horizontal="right"/>
    </xf>
  </cellXfs>
  <cellStyles count="13">
    <cellStyle name="Comma" xfId="1" builtinId="3"/>
    <cellStyle name="Comma 2" xfId="5" xr:uid="{76421438-DD9F-4DD7-A382-E4810661AF8A}"/>
    <cellStyle name="Comma 2 2" xfId="8" xr:uid="{D2984E0D-0A87-4F9D-BF7B-79C7B18E69C3}"/>
    <cellStyle name="Comma 2 3" xfId="11" xr:uid="{E97D4739-FB1A-448C-A62D-B18553540D44}"/>
    <cellStyle name="Comma 3" xfId="6" xr:uid="{2D978BD6-A67D-44ED-8968-988FB6A91641}"/>
    <cellStyle name="Comma 7" xfId="12" xr:uid="{58B20C18-BC4F-4E16-ADF4-F3FCC3092798}"/>
    <cellStyle name="Currency" xfId="2" builtinId="4"/>
    <cellStyle name="Hyperlink" xfId="9" builtinId="8"/>
    <cellStyle name="Normal" xfId="0" builtinId="0"/>
    <cellStyle name="Normal 2" xfId="4" xr:uid="{B1600794-CC5C-40EB-A514-C52C7601EB20}"/>
    <cellStyle name="Normal 21" xfId="10" xr:uid="{EB749551-D54F-49A2-92CE-F9890BD2928B}"/>
    <cellStyle name="Percent" xfId="3" builtinId="5"/>
    <cellStyle name="Result" xfId="7" xr:uid="{4A977B0F-2052-4D09-8E35-0041B5614AC9}"/>
  </cellStyles>
  <dxfs count="1">
    <dxf>
      <font>
        <color rgb="FF00B050"/>
      </font>
    </dxf>
  </dxfs>
  <tableStyles count="0" defaultTableStyle="TableStyleMedium2" defaultPivotStyle="PivotStyleLight16"/>
  <colors>
    <mruColors>
      <color rgb="FF997300"/>
      <color rgb="FF2644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17/06/relationships/rdRichValueStructure" Target="richData/rdrichvaluestructure.xml"/><Relationship Id="rId23" Type="http://schemas.openxmlformats.org/officeDocument/2006/relationships/customXml" Target="../customXml/item3.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 Id="rId22" Type="http://schemas.openxmlformats.org/officeDocument/2006/relationships/customXml" Target="../customXml/item2.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17">
  <rv s="0">
    <v>https://www.bing.com/financeapi/forcetrigger?t=a1tr1h&amp;q=XNYS%3aGE&amp;form=skydnc</v>
    <v>Learn more on Bing</v>
  </rv>
  <rv s="1">
    <v>en-US</v>
    <v>a1tr1h</v>
    <v>268435456</v>
    <v>1</v>
    <v>Powered by Refinitiv</v>
    <v>0</v>
    <v>GENERAL ELECTRIC COMPANY (XNYS:GE)</v>
    <v>2</v>
    <v>3</v>
    <v>Finance</v>
    <v>4</v>
    <v>388.84</v>
    <v>263.8</v>
    <v>1.3817999999999999</v>
    <v>-6.67</v>
    <v>-1.7496000000000001E-2</v>
    <v>USD</v>
    <v>General Electric Company, doing business as GE Aerospace, is a global aerospace propulsion, services, and systems company. It has an installed base of over 50,000 commercial and 30,000 military aircraft engines. Its segment includes Commercial Engines &amp; Services and Defense &amp; Propulsion Technologies. Commercial Engines &amp; Services segment designs, develops, manufactures and services jet engines for commercial airframes, as well as business aviation and aeroderivative applications. Its services include maintenance, repair and overhaul of engines and the sale of spare parts and offers services under a variety of arrangements such as long-term service agreements, spare parts agreements or time and material contracts. Defense &amp; Propulsion Technologies segment provides defense engines and critical aircraft systems and consists of Defense &amp; Systems and Propulsion &amp; Additive Technologies businesses. Its portfolio of brands includes Avio Aero, Unison, Dowty Propellers and Colibrium Additive.</v>
    <v>57000</v>
    <v>New York Stock Exchange</v>
    <v>XNYS</v>
    <v>XNYS</v>
    <v>1 Neumann Way, CINCINNATI, OH, 45215 US</v>
    <v>388.84</v>
    <v>Aerospace &amp; Defense</v>
    <v>Stock</v>
    <v>46240.998691214845</v>
    <v>0</v>
    <v>372.79</v>
    <v>388619221650</v>
    <v>GENERAL ELECTRIC COMPANY</v>
    <v>GENERAL ELECTRIC COMPANY</v>
    <v>383.97</v>
    <v>44.128500000000003</v>
    <v>381.22</v>
    <v>374.55</v>
    <v>1037563000</v>
    <v>GE</v>
    <v>GENERAL ELECTRIC COMPANY (XNYS:GE)</v>
    <v>243</v>
    <v>3888078</v>
    <v>1892</v>
  </rv>
  <rv s="2">
    <v>1</v>
  </rv>
  <rv s="0">
    <v>https://www.bing.com/financeapi/forcetrigger?t=a1vtu2&amp;q=BATS%3aITB&amp;form=skydnc</v>
    <v>Learn more on Bing</v>
  </rv>
  <rv s="3">
    <v>en-US</v>
    <v>a1vtu2</v>
    <v>268435456</v>
    <v>1</v>
    <v>Powered by Refinitiv</v>
    <v>5</v>
    <v>iShares:US Home Cons ETF (BATS:ITB)</v>
    <v>6</v>
    <v>7</v>
    <v>Finance</v>
    <v>8</v>
    <v>118</v>
    <v>84.98</v>
    <v>1.369</v>
    <v>-2.35</v>
    <v>-2.3295E-2</v>
    <v>USD</v>
    <v>CBOE BZX Exchange</v>
    <v>BATS</v>
    <v>3.7000000000000002E-3</v>
    <v>100.78</v>
    <v>ETF</v>
    <v>46240.982059305468</v>
    <v>3</v>
    <v>98.09</v>
    <v>2159786477.5300002</v>
    <v>iShares:US Home Cons ETF</v>
    <v>100.78</v>
    <v>100.88</v>
    <v>98.53</v>
    <v>ITB</v>
    <v>iShares:US Home Cons ETF (BATS:ITB)</v>
    <v>14</v>
    <v>1985194</v>
  </rv>
  <rv s="2">
    <v>4</v>
  </rv>
  <rv s="0">
    <v>https://www.bing.com/financeapi/forcetrigger?t=a1sx27&amp;q=XNAS%3aFISV&amp;form=skydnc</v>
    <v>Learn more on Bing</v>
  </rv>
  <rv s="1">
    <v>en-US</v>
    <v>a1sx27</v>
    <v>268435456</v>
    <v>1</v>
    <v>Powered by Refinitiv</v>
    <v>0</v>
    <v>FISERV, INC. (XNAS:FISV)</v>
    <v>2</v>
    <v>3</v>
    <v>Finance</v>
    <v>9</v>
    <v>140.41999999999999</v>
    <v>47.04</v>
    <v>0.79749999999999999</v>
    <v>0</v>
    <v>0</v>
    <v>USD</v>
    <v>Fiserv, Inc. is a global provider of payments and financial services technology solutions. Its segments include Merchant Solutions (Merchant) and Financial Solutions (Financial). The businesses in its Merchant segment provide commerce-enabling products and services to companies of all sizes around the world. These products and services include merchant acquiring and digital commerce services; mobile payment services; security and fraud protection solutions; stored-value solutions; software-as-a-service; POS devices, and pay-by-bank solutions. The business lines in its Merchant segment consist of small business, enterprise, and processing. The businesses in its Financial segment provide products and services to financial institutions, corporate and public sector clients across the world, enabling the processing of customer loan and deposit accounts, digital payments and card transactions. The business lines in its Financial segment consist of digital payments, issuing, and banking.</v>
    <v>38000</v>
    <v>Nasdaq Stock Market</v>
    <v>XNAS</v>
    <v>XNAS</v>
    <v>600 N. Vel R. Phillips Avenue, MILWAUKEE, WI, 53203 US</v>
    <v>54.15</v>
    <v>Professional &amp; Commercial Services</v>
    <v>Stock</v>
    <v>46240.999903981246</v>
    <v>6</v>
    <v>49.56</v>
    <v>28854373940</v>
    <v>FISERV, INC.</v>
    <v>FISERV, INC.</v>
    <v>49.88</v>
    <v>10.379099999999999</v>
    <v>54.11</v>
    <v>54.11</v>
    <v>533254000</v>
    <v>FISV</v>
    <v>FISERV, INC. (XNAS:FISV)</v>
    <v>4191</v>
    <v>7336307</v>
    <v>1992</v>
  </rv>
  <rv s="2">
    <v>7</v>
  </rv>
  <rv s="0">
    <v>https://www.bing.com/financeapi/forcetrigger?t=a1zez2&amp;q=XNYS%3aOXY&amp;form=skydnc</v>
    <v>Learn more on Bing</v>
  </rv>
  <rv s="1">
    <v>en-US</v>
    <v>a1zez2</v>
    <v>268435456</v>
    <v>1</v>
    <v>Powered by Refinitiv</v>
    <v>0</v>
    <v>OCCIDENTAL PETROLEUM CORPORATION (XNYS:OXY)</v>
    <v>2</v>
    <v>3</v>
    <v>Finance</v>
    <v>4</v>
    <v>67.45</v>
    <v>38.799999999999997</v>
    <v>0.14660000000000001</v>
    <v>2.23</v>
    <v>4.1442E-2</v>
    <v>USD</v>
    <v>Occidental Petroleum Corporation is an international energy company with assets primarily in the United States, the Middle East and North Africa. The Company is an oil and gas producer in the United States, including a producer in the Permian and DJ basins, and the offshore Gulf of Mexico. It operates through two segments, which include oil and gas and midstream and marketing. The oil and gas segment explores for, develops and produces oil (which includes condensate), natural gas liquids (NGL) and natural gas. The midstream and marketing segment purchases, markets, gathers, processes, transports and stores oil (which includes condensate), NGL, natural gas, carbon dioxide (CO2) and power. It also optimizes its transportation and storage capacity and invests in entities that conduct similar activities. The midstream and marketing segment provides flow assurance and maximizes the value of its oil and gas.</v>
    <v>10412</v>
    <v>New York Stock Exchange</v>
    <v>XNYS</v>
    <v>XNYS</v>
    <v>5 GREENWAY PLAZA, SUITE 110, HOUSTON, TX, 77046 US</v>
    <v>57.35</v>
    <v>Oil &amp; Gas</v>
    <v>Stock</v>
    <v>46240.999581469528</v>
    <v>9</v>
    <v>55.82</v>
    <v>55739328588</v>
    <v>OCCIDENTAL PETROLEUM CORPORATION</v>
    <v>OCCIDENTAL PETROLEUM CORPORATION</v>
    <v>56.43</v>
    <v>17.9072</v>
    <v>53.81</v>
    <v>56.04</v>
    <v>994634700</v>
    <v>OXY</v>
    <v>OCCIDENTAL PETROLEUM CORPORATION (XNYS:OXY)</v>
    <v>7227</v>
    <v>8956005</v>
    <v>1986</v>
  </rv>
  <rv s="2">
    <v>10</v>
  </rv>
  <rv s="0">
    <v>https://www.bing.com/financeapi/forcetrigger?t=a1nllh&amp;q=XNYS%3aAPH&amp;form=skydnc</v>
    <v>Learn more on Bing</v>
  </rv>
  <rv s="1">
    <v>en-US</v>
    <v>a1nllh</v>
    <v>268435456</v>
    <v>1</v>
    <v>Powered by Refinitiv</v>
    <v>0</v>
    <v>AMPHENOL CORPORATION (XNYS:APH)</v>
    <v>2</v>
    <v>3</v>
    <v>Finance</v>
    <v>9</v>
    <v>178.52</v>
    <v>104.71</v>
    <v>1.2535000000000001</v>
    <v>-1.63</v>
    <v>-9.4640000000000002E-3</v>
    <v>USD</v>
    <v>Amphenol Corporation is a designer, manufacturer, and marketer of electrical, electronic and fiber optic connectors and interconnect systems, antennas, sensors and sensor-based products and coaxial and high-speed specialty cables. The Company operates through three segments. The Harsh Environment Solutions segment designs, manufactures and markets a range of ruggedized interconnect products and other products for use in the industrial, defense, commercial aerospace, automotive, mobile networks, medical and other markets. Communications Solutions segment designs, manufactures and markets a range of connector and interconnect systems for use in the information technology and data communications, mobile devices, industrial, mobile networks, broadband communications, automotive, commercial aerospace and defense end markets. Its Interconnect and Sensor Systems segment designs, manufactures and markets a range of sensors, sensor-based systems, connectors and value-add interconnect systems.</v>
    <v>170000</v>
    <v>New York Stock Exchange</v>
    <v>XNYS</v>
    <v>XNYS</v>
    <v>358 HALL AVE, WALLINGFORD, CT, 06492 US</v>
    <v>176.33</v>
    <v>Electronic Equipment &amp; Parts</v>
    <v>Stock</v>
    <v>46240.999999664062</v>
    <v>12</v>
    <v>168.67</v>
    <v>210359400240</v>
    <v>AMPHENOL CORPORATION</v>
    <v>AMPHENOL CORPORATION</v>
    <v>169.74</v>
    <v>42.710500000000003</v>
    <v>172.24</v>
    <v>170.61</v>
    <v>1232984000</v>
    <v>APH</v>
    <v>AMPHENOL CORPORATION (XNYS:APH)</v>
    <v>415</v>
    <v>7066305</v>
    <v>1986</v>
  </rv>
  <rv s="2">
    <v>13</v>
  </rv>
  <rv s="0">
    <v>https://www.bing.com/financeapi/forcetrigger?t=a267oc&amp;q=ARCX%3aXLE&amp;form=skydnc</v>
    <v>Learn more on Bing</v>
  </rv>
  <rv s="3">
    <v>en-US</v>
    <v>a267oc</v>
    <v>268435456</v>
    <v>1</v>
    <v>Powered by Refinitiv</v>
    <v>5</v>
    <v>Sel Sector:Enrgy SS SPDR (ARCX:XLE)</v>
    <v>6</v>
    <v>7</v>
    <v>Finance</v>
    <v>10</v>
    <v>63.46</v>
    <v>42.05</v>
    <v>1.08</v>
    <v>0.85</v>
    <v>1.4832000000000001E-2</v>
    <v>USD</v>
    <v>NYSE Arca</v>
    <v>ARCX</v>
    <v>8.0000000000000004E-4</v>
    <v>58.56</v>
    <v>ETF</v>
    <v>46240.99956185156</v>
    <v>15</v>
    <v>57.58</v>
    <v>39209269021.040001</v>
    <v>Sel Sector:Enrgy SS SPDR</v>
    <v>58.39</v>
    <v>57.31</v>
    <v>58.16</v>
    <v>XLE</v>
    <v>Sel Sector:Enrgy SS SPDR (ARCX:XLE)</v>
    <v>7068</v>
    <v>30625116</v>
  </rv>
  <rv s="2">
    <v>16</v>
  </rv>
  <rv s="0">
    <v>https://www.bing.com/financeapi/forcetrigger?t=a1yv52&amp;q=XNAS%3aNVDA&amp;form=skydnc</v>
    <v>Learn more on Bing</v>
  </rv>
  <rv s="1">
    <v>en-US</v>
    <v>a1yv52</v>
    <v>268435456</v>
    <v>1</v>
    <v>Powered by Refinitiv</v>
    <v>0</v>
    <v>NVIDIA CORPORATION (XNAS:NVDA)</v>
    <v>2</v>
    <v>3</v>
    <v>Finance</v>
    <v>4</v>
    <v>236.54</v>
    <v>164.07</v>
    <v>2.2139000000000002</v>
    <v>-0.23</v>
    <v>-1.049E-3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223.63</v>
    <v>Semiconductors &amp; Semiconductor Equipment</v>
    <v>Stock</v>
    <v>46240.999999837499</v>
    <v>18</v>
    <v>217</v>
    <v>5299558000000</v>
    <v>NVIDIA CORPORATION</v>
    <v>NVIDIA CORPORATION</v>
    <v>221.53</v>
    <v>33.536099999999998</v>
    <v>219.22</v>
    <v>218.99</v>
    <v>24200000000</v>
    <v>NVDA</v>
    <v>NVIDIA CORPORATION (XNAS:NVDA)</v>
    <v>258685</v>
    <v>130977138</v>
    <v>1998</v>
  </rv>
  <rv s="2">
    <v>19</v>
  </rv>
  <rv s="0">
    <v>https://www.bing.com/financeapi/forcetrigger?t=a1r1r7&amp;q=XNYS%3aDHR&amp;form=skydnc</v>
    <v>Learn more on Bing</v>
  </rv>
  <rv s="1">
    <v>en-US</v>
    <v>a1r1r7</v>
    <v>268435456</v>
    <v>1</v>
    <v>Powered by Refinitiv</v>
    <v>0</v>
    <v>DANAHER CORPORATION (XNYS:DHR)</v>
    <v>2</v>
    <v>3</v>
    <v>Finance</v>
    <v>9</v>
    <v>242.8</v>
    <v>160.93</v>
    <v>0.77310000000000001</v>
    <v>0.32</v>
    <v>1.603E-3</v>
    <v>USD</v>
    <v>Danaher Corporation is a global life sciences and diagnostics innovator. The Company operates through three segments: Biotechnology, Life Sciences and Diagnostics. The Biotechnology segment includes the bioprocessing and discovery and medical businesses and offers a range of equipment, consumables and services that are primarily used by customers to advance and accelerate the research, development, manufacture and delivery of biological medicines. The Life Sciences segment offers a broad range of instruments, consumables, services and software that are primarily used by customers to study the basic building blocks of life, including deoxyribonucleic acid (DNA) and ribonucleic acid (RNA), nucleic acid, proteins, metabolites and cells. The Diagnostics segment offers clinical instruments, consumables, software and services. The Company also provides pulse oximetry and other patient monitoring solutions, primarily in acute care treatment settings.</v>
    <v>58000</v>
    <v>New York Stock Exchange</v>
    <v>XNYS</v>
    <v>XNYS</v>
    <v>2200 Pennsylvania Ave NW Ste 800W, WASHINGTON, DC, 20037-1701 US</v>
    <v>201.3425</v>
    <v>Healthcare Equipment &amp; Supplies</v>
    <v>Stock</v>
    <v>46240.990518680468</v>
    <v>21</v>
    <v>196.48</v>
    <v>140583140280</v>
    <v>DANAHER CORPORATION</v>
    <v>DANAHER CORPORATION</v>
    <v>199.96</v>
    <v>35.627000000000002</v>
    <v>199.66</v>
    <v>199.98</v>
    <v>702986000</v>
    <v>DHR</v>
    <v>DANAHER CORPORATION (XNYS:DHR)</v>
    <v>11</v>
    <v>6226993</v>
    <v>1986</v>
  </rv>
  <rv s="2">
    <v>22</v>
  </rv>
  <rv s="0">
    <v>https://www.bing.com/financeapi/forcetrigger?t=a268f2&amp;q=ARCX%3aXLU&amp;form=skydnc</v>
    <v>Learn more on Bing</v>
  </rv>
  <rv s="3">
    <v>en-US</v>
    <v>a268f2</v>
    <v>268435456</v>
    <v>1</v>
    <v>Powered by Refinitiv</v>
    <v>5</v>
    <v>Sel Sector:Utl SS SPDR (ARCX:XLU)</v>
    <v>6</v>
    <v>7</v>
    <v>Finance</v>
    <v>11</v>
    <v>47.8</v>
    <v>41.15</v>
    <v>0.99790000000000001</v>
    <v>-0.28000000000000003</v>
    <v>-6.4129999999999994E-3</v>
    <v>USD</v>
    <v>NYSE Arca</v>
    <v>ARCX</v>
    <v>8.0000000000000004E-4</v>
    <v>44.27</v>
    <v>ETF</v>
    <v>46240.995250751563</v>
    <v>24</v>
    <v>43.155000000000001</v>
    <v>23064175005</v>
    <v>Sel Sector:Utl SS SPDR</v>
    <v>44.15</v>
    <v>43.66</v>
    <v>43.38</v>
    <v>XLU</v>
    <v>Sel Sector:Utl SS SPDR (ARCX:XLU)</v>
    <v>1702</v>
    <v>19504272</v>
  </rv>
  <rv s="2">
    <v>25</v>
  </rv>
  <rv s="0">
    <v>https://www.bing.com/financeapi/forcetrigger?t=a1otrw&amp;q=XNYS%3aBRK.B&amp;form=skydnc</v>
    <v>Learn more on Bing</v>
  </rv>
  <rv s="1">
    <v>en-US</v>
    <v>a1otrw</v>
    <v>268435456</v>
    <v>1</v>
    <v>Powered by Refinitiv</v>
    <v>0</v>
    <v>BERKSHIRE HATHAWAY INC. (XNYS:BRK.B)</v>
    <v>2</v>
    <v>3</v>
    <v>Finance</v>
    <v>4</v>
    <v>525.44000000000005</v>
    <v>461.37</v>
    <v>0.60560000000000003</v>
    <v>5.76</v>
    <v>1.1101000000000001E-2</v>
    <v>USD</v>
    <v>Berkshire Hathaway Inc. is a holding company owning subsidiaries engaged in diverse business activities, including insurance and reinsurance, utilities and energy, manufacturing, service and retailing. Its segments include Insurance, Burlington Northern Santa Fe (BNSF), Berkshire Hathaway Energy (BHE), Manufacturing, Service and retailing, McLane Company (McLane), and Pilot Travel Centers (Pilot). Insurance segment includes GEICO, Berkshire Hathaway Primary Group, and Berkshire Hathaway Reinsurance Group. BNSF segment is an operator of freight rail transportation systems. BHE segment offers regulated electric and gas utilities and real estate brokerage activities. Manufacturing segment manufactures and distributes industrial, consumer and building products. Service and retailing segment includes aviation pilot training and electronic components distribution. McLane segment includes wholesale distribution of food and non-food items. Pilot segment is an operator of retail travel centers.</v>
    <v>387800</v>
    <v>New York Stock Exchange</v>
    <v>XNYS</v>
    <v>XNYS</v>
    <v>3555 Farnam Street, OMAHA, NE, 68131 US</v>
    <v>525.44000000000005</v>
    <v>Consumer Goods Conglomerates</v>
    <v>Stock</v>
    <v>46240.999994108592</v>
    <v>27</v>
    <v>517.21349999999995</v>
    <v>1118791000000</v>
    <v>BERKSHIRE HATHAWAY INC.</v>
    <v>BERKSHIRE HATHAWAY INC.</v>
    <v>524.10500000000002</v>
    <v>15.618</v>
    <v>518.85</v>
    <v>524.61</v>
    <v>1437900</v>
    <v>BRK.B</v>
    <v>BERKSHIRE HATHAWAY INC. (XNYS:BRK.B)</v>
    <v>6340</v>
    <v>4111188</v>
    <v>1998</v>
  </rv>
  <rv s="2">
    <v>28</v>
  </rv>
  <rv s="0">
    <v>https://www.bing.com/financeapi/forcetrigger?t=bu3f2w&amp;q=XNYS%3aOTIS&amp;form=skydnc</v>
    <v>Learn more on Bing</v>
  </rv>
  <rv s="1">
    <v>en-US</v>
    <v>bu3f2w</v>
    <v>268435456</v>
    <v>1</v>
    <v>Powered by Refinitiv</v>
    <v>0</v>
    <v>OTIS WORLDWIDE CORPORATION (XNYS:OTIS)</v>
    <v>2</v>
    <v>3</v>
    <v>Finance</v>
    <v>9</v>
    <v>94.564999999999998</v>
    <v>69.16</v>
    <v>0.87870000000000004</v>
    <v>0.73</v>
    <v>9.9860000000000001E-3</v>
    <v>USD</v>
    <v>Otis Worldwide Corporation is an elevator and escalator manufacturing, installation and service company. The Company’s segments include New Equipment and Service. The New Equipment segment designs, manufactures, sells and installs a range of passenger and freight elevators, and escalators and moving walkways for residential, commercial and infrastructure projects. Its elevator and escalator solutions include Gen2, Gen3, Gen360 and SkyRise. Through its Service segment, it performs maintenance and repair services, and modernization services to upgrade elevators and escalators. Through its network of service sales personnel, it sells its services directly to customers in all significant elevator and escalator verticals around the world. It serves customers in over 200 countries and territories around the world. The SkyRise advanced elevator platform combines cutting-edge technologies and precision engineering to deliver solutions for residential, commercial and mixed-use skyscrapers.</v>
    <v>72000</v>
    <v>New York Stock Exchange</v>
    <v>XNYS</v>
    <v>XNYS</v>
    <v>1 Carrier Place, FARMINGTON, CT, 06032 US</v>
    <v>73.84</v>
    <v>Machinery, Equipment &amp; Components</v>
    <v>Stock</v>
    <v>46240.99868673594</v>
    <v>30</v>
    <v>73.099999999999994</v>
    <v>28104814419</v>
    <v>OTIS WORLDWIDE CORPORATION</v>
    <v>OTIS WORLDWIDE CORPORATION</v>
    <v>73.38</v>
    <v>18.957699999999999</v>
    <v>73.099999999999994</v>
    <v>73.83</v>
    <v>380669300</v>
    <v>OTIS</v>
    <v>OTIS WORLDWIDE CORPORATION (XNYS:OTIS)</v>
    <v>5</v>
    <v>3794044</v>
    <v>2019</v>
  </rv>
  <rv s="2">
    <v>31</v>
  </rv>
  <rv s="0">
    <v>https://www.bing.com/financeapi/forcetrigger?t=a256cw&amp;q=XNYS%3aV&amp;form=skydnc</v>
    <v>Learn more on Bing</v>
  </rv>
  <rv s="1">
    <v>en-US</v>
    <v>a256cw</v>
    <v>268435456</v>
    <v>1</v>
    <v>Powered by Refinitiv</v>
    <v>0</v>
    <v>VISA INC. (XNYS:V)</v>
    <v>2</v>
    <v>3</v>
    <v>Finance</v>
    <v>4</v>
    <v>373.97</v>
    <v>293.89</v>
    <v>0.75580000000000003</v>
    <v>1.93</v>
    <v>5.2370000000000003E-3</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371.09930000000003</v>
    <v>Professional &amp; Commercial Services</v>
    <v>Stock</v>
    <v>46240.999871712498</v>
    <v>33</v>
    <v>365.25</v>
    <v>691684902090</v>
    <v>VISA INC.</v>
    <v>VISA INC.</v>
    <v>369.57</v>
    <v>31.501799999999999</v>
    <v>368.54</v>
    <v>370.47</v>
    <v>1867047000</v>
    <v>V</v>
    <v>VISA INC. (XNYS:V)</v>
    <v>616</v>
    <v>7858791</v>
    <v>2007</v>
  </rv>
  <rv s="2">
    <v>34</v>
  </rv>
  <rv s="0">
    <v>https://www.bing.com/financeapi/forcetrigger?t=a1vgm7&amp;q=ARCX%3aIJR&amp;form=skydnc</v>
    <v>Learn more on Bing</v>
  </rv>
  <rv s="3">
    <v>en-US</v>
    <v>a1vgm7</v>
    <v>268435456</v>
    <v>1</v>
    <v>Powered by Refinitiv</v>
    <v>5</v>
    <v>iShares:Core S&amp;P Sm-Cp (ARCX:IJR)</v>
    <v>6</v>
    <v>7</v>
    <v>Finance</v>
    <v>11</v>
    <v>150.69</v>
    <v>110.05</v>
    <v>0.99960000000000004</v>
    <v>-1.1200000000000001</v>
    <v>-7.5199999999999998E-3</v>
    <v>USD</v>
    <v>NYSE Arca</v>
    <v>ARCX</v>
    <v>5.9999999999999995E-4</v>
    <v>149.49</v>
    <v>ETF</v>
    <v>46240.998137128903</v>
    <v>36</v>
    <v>147.69999999999999</v>
    <v>109626866522.36</v>
    <v>iShares:Core S&amp;P Sm-Cp</v>
    <v>148.97999999999999</v>
    <v>148.94</v>
    <v>147.82</v>
    <v>IJR</v>
    <v>iShares:Core S&amp;P Sm-Cp (ARCX:IJR)</v>
    <v>1</v>
    <v>3287197</v>
  </rv>
  <rv s="2">
    <v>37</v>
  </rv>
  <rv s="0">
    <v>https://www.bing.com/financeapi/forcetrigger?t=a1nqw7&amp;q=XNYS%3aHWM&amp;form=skydnc</v>
    <v>Learn more on Bing</v>
  </rv>
  <rv s="1">
    <v>en-US</v>
    <v>a1nqw7</v>
    <v>268435456</v>
    <v>1</v>
    <v>Powered by Refinitiv</v>
    <v>0</v>
    <v>HOWMET AEROSPACE INC. (XNYS:HWM)</v>
    <v>2</v>
    <v>3</v>
    <v>Finance</v>
    <v>9</v>
    <v>310</v>
    <v>169.45</v>
    <v>1.2057</v>
    <v>-1.7</v>
    <v>-5.8340000000000006E-3</v>
    <v>USD</v>
    <v>Howmet Aerospace Inc. is engaged in lightweight metals engineering and manufacturing. Its segments include Engine Products, Fastening Systems, Engineered Structures and Forged Wheels. Engine Products produces investment castings, including airfoils, and seamless rolled rings primarily for aircraft engines and gas turbine applications. Engine Products produces rotating parts, as well as structural parts. Fastening Systems produce aerospace fastening systems, as well as commercial transportation. Fastening Systems’ products are also critical components of commercial transportation vehicles and construction, industrial, and renewable energy equipment. Engineered Structures produces titanium ingots and mill products for aerospace and defense applications and is vertically integrated to produce titanium forgings, titanium extrusions, and landing gear components. Forged Wheels provides forged aluminum wheels and related products for heavy-duty trucks and the commercial transportation market.</v>
    <v>25430</v>
    <v>New York Stock Exchange</v>
    <v>XNYS</v>
    <v>XNYS</v>
    <v>201 Isabella Street, Suite 200, PITTSBURGH, PA, 15212-5872 US</v>
    <v>310</v>
    <v>Aerospace &amp; Defense</v>
    <v>Stock</v>
    <v>46240.999449837502</v>
    <v>39</v>
    <v>288.52999999999997</v>
    <v>115919144900</v>
    <v>HOWMET AEROSPACE INC.</v>
    <v>HOWMET AEROSPACE INC.</v>
    <v>299</v>
    <v>62.481900000000003</v>
    <v>291.42</v>
    <v>289.72000000000003</v>
    <v>400107500</v>
    <v>HWM</v>
    <v>HOWMET AEROSPACE INC. (XNYS:HWM)</v>
    <v>285</v>
    <v>2040763</v>
    <v>2017</v>
  </rv>
  <rv s="2">
    <v>40</v>
  </rv>
  <rv s="0">
    <v>https://www.bing.com/financeapi/forcetrigger?t=a1waa2&amp;q=XNYS%3aJPM&amp;form=skydnc</v>
    <v>Learn more on Bing</v>
  </rv>
  <rv s="1">
    <v>en-US</v>
    <v>a1waa2</v>
    <v>268435456</v>
    <v>1</v>
    <v>Powered by Refinitiv</v>
    <v>0</v>
    <v>JPMORGAN CHASE &amp; CO. (XNYS:JPM)</v>
    <v>2</v>
    <v>3</v>
    <v>Finance</v>
    <v>4</v>
    <v>363</v>
    <v>279.10000000000002</v>
    <v>0.97499999999999998</v>
    <v>-2.94</v>
    <v>-8.1840000000000003E-3</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320560</v>
    <v>New York Stock Exchange</v>
    <v>XNYS</v>
    <v>XNYS</v>
    <v>270 Park Avenue, NEW YORK, NY, 10017 US</v>
    <v>362.81</v>
    <v>Banking Services</v>
    <v>Stock</v>
    <v>46240.999669375</v>
    <v>42</v>
    <v>354.94499999999999</v>
    <v>947116660000</v>
    <v>JPMORGAN CHASE &amp; CO.</v>
    <v>JPMORGAN CHASE &amp; CO.</v>
    <v>362.81</v>
    <v>15.260899999999999</v>
    <v>359.24</v>
    <v>356.3</v>
    <v>2658200000</v>
    <v>JPM</v>
    <v>JPMORGAN CHASE &amp; CO. (XNYS:JPM)</v>
    <v>2423</v>
    <v>9247518</v>
    <v>1968</v>
  </rv>
  <rv s="2">
    <v>43</v>
  </rv>
  <rv s="0">
    <v>https://www.bing.com/financeapi/forcetrigger?t=a1pshw&amp;q=XNYS%3aCL&amp;form=skydnc</v>
    <v>Learn more on Bing</v>
  </rv>
  <rv s="1">
    <v>en-US</v>
    <v>a1pshw</v>
    <v>268435456</v>
    <v>1</v>
    <v>Powered by Refinitiv</v>
    <v>0</v>
    <v>COLGATE-PALMOLIVE COMPANY (XNYS:CL)</v>
    <v>2</v>
    <v>3</v>
    <v>Finance</v>
    <v>9</v>
    <v>99.33</v>
    <v>74.545000000000002</v>
    <v>0.32879999999999998</v>
    <v>-0.28000000000000003</v>
    <v>-3.0020000000000003E-3</v>
    <v>USD</v>
    <v>Colgate-Palmolive Company is a growth company. It is focused on Oral Care, Personal Care, Home Care and Pet Nutrition, it sells its products under brands, such as Colgate, Palmolive, elmex, hello, meridol, Sorriso, Tom's of Maine, EltaMD, Filorga, Irish Spring, Lady Speed Stick, PCA SKIN, Protex, Sanex, Softsoap, Speed Stick, Ajax, Axion, Fabuloso, Murphy, Soupline and Suavitel, as well as Hill's Science Diet and Hill's Prescription Diet. Its Oral, Personal and Home Care product segment is managed geographically in five segments, such as North America, Latin America, Europe, Asia Pacific and Africa/Eurasia, all of which sell primarily to a variety of traditional and e-commerce retailers, wholesalers, distributors, dentists and skin health professionals. Its Pet Nutrition products include specialty pet nutrition products manufactured and marketed by Hill's Pet Nutrition. The customers for Pet Nutrition products are authorized pet supply retailers, veterinarians and e-commerce retailers.</v>
    <v>33600</v>
    <v>New York Stock Exchange</v>
    <v>XNYS</v>
    <v>XNYS</v>
    <v>300 PARK AVE, NEW YORK, NY, 10022 US</v>
    <v>94.152000000000001</v>
    <v>Personal &amp; Household Products &amp; Services</v>
    <v>Stock</v>
    <v>46240.990663078126</v>
    <v>45</v>
    <v>92.144999999999996</v>
    <v>74137079700</v>
    <v>COLGATE-PALMOLIVE COMPANY</v>
    <v>COLGATE-PALMOLIVE COMPANY</v>
    <v>94.05</v>
    <v>36.789400000000001</v>
    <v>93.28</v>
    <v>93</v>
    <v>797172900</v>
    <v>CL</v>
    <v>COLGATE-PALMOLIVE COMPANY (XNYS:CL)</v>
    <v>97</v>
    <v>4711527</v>
    <v>1923</v>
  </rv>
  <rv s="2">
    <v>46</v>
  </rv>
  <rv s="0">
    <v>https://www.bing.com/financeapi/forcetrigger?t=a23hqh&amp;q=ARCX%3aSPY&amp;form=skydnc</v>
    <v>Learn more on Bing</v>
  </rv>
  <rv s="3">
    <v>en-US</v>
    <v>a23hqh</v>
    <v>268435456</v>
    <v>1</v>
    <v>Powered by Refinitiv</v>
    <v>5</v>
    <v>State Street SPDR S&amp;P500 (ARCX:SPY)</v>
    <v>6</v>
    <v>7</v>
    <v>Finance</v>
    <v>10</v>
    <v>776.85</v>
    <v>629.11</v>
    <v>0.99880000000000002</v>
    <v>-1.23</v>
    <v>-1.598E-3</v>
    <v>USD</v>
    <v>NYSE Arca</v>
    <v>ARCX</v>
    <v>9.4499999999999998E-4</v>
    <v>771.82</v>
    <v>ETF</v>
    <v>46240.999996678125</v>
    <v>48</v>
    <v>767.46</v>
    <v>795306864127.47998</v>
    <v>State Street SPDR S&amp;P500</v>
    <v>770.21</v>
    <v>769.79</v>
    <v>768.56</v>
    <v>SPY</v>
    <v>State Street SPDR S&amp;P500 (ARCX:SPY)</v>
    <v>43162</v>
    <v>47666993</v>
  </rv>
  <rv s="2">
    <v>49</v>
  </rv>
  <rv s="0">
    <v>https://www.bing.com/financeapi/forcetrigger?t=a1vxfr&amp;q=ARCX%3aIWM&amp;form=skydnc</v>
    <v>Learn more on Bing</v>
  </rv>
  <rv s="3">
    <v>en-US</v>
    <v>a1vxfr</v>
    <v>268435456</v>
    <v>1</v>
    <v>Powered by Refinitiv</v>
    <v>5</v>
    <v>iShares:Russ 2000 ETF (ARCX:IWM)</v>
    <v>6</v>
    <v>7</v>
    <v>Finance</v>
    <v>10</v>
    <v>303.06</v>
    <v>218.505</v>
    <v>0.99950000000000006</v>
    <v>0</v>
    <v>0</v>
    <v>USD</v>
    <v>NYSE Arca</v>
    <v>ARCX</v>
    <v>1.9E-3</v>
    <v>301.38</v>
    <v>ETF</v>
    <v>46241.000002071094</v>
    <v>51</v>
    <v>297.95</v>
    <v>80105421990.630005</v>
    <v>iShares:Russ 2000 ETF</v>
    <v>299.60000000000002</v>
    <v>298.25</v>
    <v>298.25</v>
    <v>IWM</v>
    <v>iShares:Russ 2000 ETF (ARCX:IWM)</v>
    <v>34000</v>
    <v>21409023</v>
  </rv>
  <rv s="2">
    <v>52</v>
  </rv>
  <rv s="0">
    <v>https://www.bing.com/financeapi/forcetrigger?t=a1v1r7&amp;q=ARCX%3aHYG&amp;form=skydnc</v>
    <v>Learn more on Bing</v>
  </rv>
  <rv s="3">
    <v>en-US</v>
    <v>a1v1r7</v>
    <v>268435456</v>
    <v>1</v>
    <v>Powered by Refinitiv</v>
    <v>5</v>
    <v>iShares:iBoxx $HY Corp (ARCX:HYG)</v>
    <v>6</v>
    <v>7</v>
    <v>Finance</v>
    <v>11</v>
    <v>81.36</v>
    <v>78.564999999999998</v>
    <v>1.0330999999999999</v>
    <v>-0.06</v>
    <v>-7.5450000000000007E-4</v>
    <v>USD</v>
    <v>NYSE Arca</v>
    <v>ARCX</v>
    <v>4.8999999999999998E-3</v>
    <v>79.510000000000005</v>
    <v>ETF</v>
    <v>46240.995434003904</v>
    <v>54</v>
    <v>79.41</v>
    <v>17113128412.540001</v>
    <v>iShares:iBoxx $HY Corp</v>
    <v>79.510000000000005</v>
    <v>79.52</v>
    <v>79.459999999999994</v>
    <v>HYG</v>
    <v>iShares:iBoxx $HY Corp (ARCX:HYG)</v>
    <v>7</v>
    <v>32070273</v>
  </rv>
  <rv s="2">
    <v>55</v>
  </rv>
  <rv s="0">
    <v>https://www.bing.com/financeapi/forcetrigger?t=a1x43m&amp;q=ARCX%3aLQD&amp;form=skydnc</v>
    <v>Learn more on Bing</v>
  </rv>
  <rv s="3">
    <v>en-US</v>
    <v>a1x43m</v>
    <v>268435456</v>
    <v>1</v>
    <v>Powered by Refinitiv</v>
    <v>5</v>
    <v>iShares:iBoxx $IG Corp (ARCX:LQD)</v>
    <v>6</v>
    <v>7</v>
    <v>Finance</v>
    <v>11</v>
    <v>112.93</v>
    <v>105.96</v>
    <v>1.2605999999999999</v>
    <v>0</v>
    <v>0</v>
    <v>USD</v>
    <v>NYSE Arca</v>
    <v>ARCX</v>
    <v>1.4000000000000002E-3</v>
    <v>106.51</v>
    <v>ETF</v>
    <v>46241.000000902342</v>
    <v>57</v>
    <v>106.245</v>
    <v>33045541204.470001</v>
    <v>iShares:iBoxx $IG Corp</v>
    <v>106.42</v>
    <v>106.36</v>
    <v>106.36</v>
    <v>LQD</v>
    <v>iShares:iBoxx $IG Corp (ARCX:LQD)</v>
    <v>2</v>
    <v>29225908</v>
  </rv>
  <rv s="2">
    <v>58</v>
  </rv>
  <rv s="0">
    <v>https://www.bing.com/financeapi/forcetrigger?t=a1sh52&amp;q=ARCX%3aEWZ&amp;form=skydnc</v>
    <v>Learn more on Bing</v>
  </rv>
  <rv s="3">
    <v>en-US</v>
    <v>a1sh52</v>
    <v>268435456</v>
    <v>1</v>
    <v>Powered by Refinitiv</v>
    <v>5</v>
    <v>iShares:MSCI Brazil (ARCX:EWZ)</v>
    <v>6</v>
    <v>7</v>
    <v>Finance</v>
    <v>10</v>
    <v>42.02</v>
    <v>27.33</v>
    <v>1.1168</v>
    <v>-0.3</v>
    <v>-8.3079999999999994E-3</v>
    <v>USD</v>
    <v>NYSE Arca</v>
    <v>ARCX</v>
    <v>5.8999999999999999E-3</v>
    <v>36.25</v>
    <v>ETF</v>
    <v>46240.982007013285</v>
    <v>60</v>
    <v>35.76</v>
    <v>9266132014.4599991</v>
    <v>iShares:MSCI Brazil</v>
    <v>36.22</v>
    <v>36.11</v>
    <v>35.81</v>
    <v>EWZ</v>
    <v>iShares:MSCI Brazil (ARCX:EWZ)</v>
    <v>1308</v>
    <v>18064844</v>
  </rv>
  <rv s="2">
    <v>61</v>
  </rv>
  <rv s="0">
    <v>https://www.bing.com/financeapi/forcetrigger?t=a24b5r&amp;q=XNAS%3aTLT&amp;form=skydnc</v>
    <v>Learn more on Bing</v>
  </rv>
  <rv s="3">
    <v>en-US</v>
    <v>a24b5r</v>
    <v>268435456</v>
    <v>1</v>
    <v>Powered by Refinitiv</v>
    <v>5</v>
    <v>iShares:20+ Trs Bd ETF (XNAS:TLT)</v>
    <v>6</v>
    <v>7</v>
    <v>Finance</v>
    <v>10</v>
    <v>92.185000000000002</v>
    <v>81.89</v>
    <v>1.1073999999999999</v>
    <v>-0.48</v>
    <v>-5.7829999999999999E-3</v>
    <v>USD</v>
    <v>Nasdaq Stock Market</v>
    <v>XNAS</v>
    <v>1.5E-3</v>
    <v>82.92</v>
    <v>ETF</v>
    <v>46240.998370971873</v>
    <v>63</v>
    <v>82.4</v>
    <v>41543831378.5</v>
    <v>iShares:20+ Trs Bd ETF</v>
    <v>82.77</v>
    <v>83</v>
    <v>82.52</v>
    <v>TLT</v>
    <v>iShares:20+ Trs Bd ETF (XNAS:TLT)</v>
    <v>48828</v>
    <v>25364588</v>
  </rv>
  <rv s="2">
    <v>64</v>
  </rv>
  <rv s="0">
    <v>https://www.bing.com/financeapi/forcetrigger?t=a21mim&amp;q=XNAS%3aQQQ&amp;form=skydnc</v>
    <v>Learn more on Bing</v>
  </rv>
  <rv s="3">
    <v>en-US</v>
    <v>a21mim</v>
    <v>268435456</v>
    <v>1</v>
    <v>Powered by Refinitiv</v>
    <v>5</v>
    <v>Invesco QQQ Trust 1 (XNAS:QQQ)</v>
    <v>6</v>
    <v>7</v>
    <v>Finance</v>
    <v>10</v>
    <v>748.65</v>
    <v>555.6</v>
    <v>1.0278</v>
    <v>-2.65</v>
    <v>-3.6940000000000002E-3</v>
    <v>USD</v>
    <v>Nasdaq Stock Market</v>
    <v>XNAS</v>
    <v>1.8E-3</v>
    <v>719.32</v>
    <v>ETF</v>
    <v>46240.999924571093</v>
    <v>66</v>
    <v>708.5</v>
    <v>452800652972.97998</v>
    <v>Invesco QQQ Trust 1</v>
    <v>710.82</v>
    <v>717.3</v>
    <v>714.65</v>
    <v>QQQ</v>
    <v>Invesco QQQ Trust 1 (XNAS:QQQ)</v>
    <v>120231</v>
    <v>41332454</v>
  </rv>
  <rv s="2">
    <v>67</v>
  </rv>
  <rv s="0">
    <v>https://www.bing.com/financeapi/forcetrigger?t=a1ydz2&amp;q=BATS%3aNEAR&amp;form=skydnc</v>
    <v>Learn more on Bing</v>
  </rv>
  <rv s="3">
    <v>en-US</v>
    <v>a1ydz2</v>
    <v>268435456</v>
    <v>1</v>
    <v>Powered by Refinitiv</v>
    <v>5</v>
    <v>iShares:Sh Dur Bd Act (BATS:NEAR)</v>
    <v>6</v>
    <v>7</v>
    <v>Finance</v>
    <v>8</v>
    <v>51.37</v>
    <v>50.3155</v>
    <v>0.99260000000000004</v>
    <v>-2.5000000000000001E-2</v>
    <v>-4.9529999999999995E-4</v>
    <v>USD</v>
    <v>CBOE BZX Exchange</v>
    <v>BATS</v>
    <v>2.5000000000000001E-3</v>
    <v>50.47</v>
    <v>ETF</v>
    <v>46240.982038935159</v>
    <v>69</v>
    <v>50.39</v>
    <v>4853230266.29</v>
    <v>iShares:Sh Dur Bd Act</v>
    <v>50.46</v>
    <v>50.47</v>
    <v>50.445</v>
    <v>NEAR</v>
    <v>iShares:Sh Dur Bd Act (BATS:NEAR)</v>
    <v>614932</v>
    <v>456520</v>
  </rv>
  <rv s="2">
    <v>70</v>
  </rv>
  <rv s="0">
    <v>https://www.bing.com/financeapi/forcetrigger?t=a22xh7&amp;q=XNAS%3aSHV&amp;form=skydnc</v>
    <v>Learn more on Bing</v>
  </rv>
  <rv s="3">
    <v>en-US</v>
    <v>a22xh7</v>
    <v>268435456</v>
    <v>1</v>
    <v>Powered by Refinitiv</v>
    <v>5</v>
    <v>iShares:0-1 Y Trs Bd (XNYS:SHV)</v>
    <v>6</v>
    <v>7</v>
    <v>Finance</v>
    <v>11</v>
    <v>110.5</v>
    <v>110.02</v>
    <v>1.0750999999999999</v>
    <v>0.01</v>
    <v>9.083000000000001E-5</v>
    <v>USD</v>
    <v>New York Stock Exchange</v>
    <v>XNYS</v>
    <v>1.5E-3</v>
    <v>110.12</v>
    <v>ETF</v>
    <v>46240.999437314065</v>
    <v>72</v>
    <v>110.11</v>
    <v>20699002779.34</v>
    <v>iShares:0-1 Y Trs Bd</v>
    <v>110.11</v>
    <v>110.1</v>
    <v>110.11</v>
    <v>SHV</v>
    <v>iShares:0-1 Y Trs Bd (XNYS:SHV)</v>
    <v>3949</v>
    <v>2698846</v>
  </rv>
  <rv s="2">
    <v>73</v>
  </rv>
  <rv s="0">
    <v>https://www.bing.com/financeapi/forcetrigger?t=a1xv1h&amp;q=ARCX%3aMORT&amp;form=skydnc</v>
    <v>Learn more on Bing</v>
  </rv>
  <rv s="3">
    <v>en-US</v>
    <v>a1xv1h</v>
    <v>268435456</v>
    <v>1</v>
    <v>Powered by Refinitiv</v>
    <v>5</v>
    <v>VanEck:Mtg REIT Inc (ARCX:MORT)</v>
    <v>6</v>
    <v>7</v>
    <v>Finance</v>
    <v>11</v>
    <v>11.440099999999999</v>
    <v>9.59</v>
    <v>0.86499999999999999</v>
    <v>-0.03</v>
    <v>-3.0899999999999999E-3</v>
    <v>USD</v>
    <v>NYSE Arca</v>
    <v>ARCX</v>
    <v>4.0000000000000001E-3</v>
    <v>9.73</v>
    <v>ETF</v>
    <v>46240.982039941409</v>
    <v>75</v>
    <v>9.64</v>
    <v>376835355.02999997</v>
    <v>VanEck:Mtg REIT Inc</v>
    <v>9.7200000000000006</v>
    <v>9.7100000000000009</v>
    <v>9.68</v>
    <v>MORT</v>
    <v>VanEck:Mtg REIT Inc (ARCX:MORT)</v>
    <v>841895</v>
    <v>1394919</v>
  </rv>
  <rv s="2">
    <v>76</v>
  </rv>
  <rv s="0">
    <v>https://www.bing.com/financeapi/forcetrigger?t=b1hbp2&amp;q=ARCX%3aXLC&amp;form=skydnc</v>
    <v>Learn more on Bing</v>
  </rv>
  <rv s="3">
    <v>en-US</v>
    <v>b1hbp2</v>
    <v>268435456</v>
    <v>1</v>
    <v>Powered by Refinitiv</v>
    <v>5</v>
    <v>Sel Sctr:ComS SS SPDR (ARCX:XLC)</v>
    <v>6</v>
    <v>7</v>
    <v>Finance</v>
    <v>11</v>
    <v>120.405</v>
    <v>105.03</v>
    <v>0.86080000000000001</v>
    <v>0</v>
    <v>0</v>
    <v>USD</v>
    <v>NYSE Arca</v>
    <v>ARCX</v>
    <v>8.0000000000000004E-4</v>
    <v>111.92</v>
    <v>ETF</v>
    <v>46241.000001075779</v>
    <v>78</v>
    <v>110.8</v>
    <v>21723451179</v>
    <v>Sel Sctr:ComS SS SPDR</v>
    <v>111.18</v>
    <v>111.18</v>
    <v>111.18</v>
    <v>XLC</v>
    <v>Sel Sctr:ComS SS SPDR (ARCX:XLC)</v>
    <v>8</v>
    <v>6900903</v>
  </rv>
  <rv s="2">
    <v>79</v>
  </rv>
  <rv s="0">
    <v>https://www.bing.com/financeapi/forcetrigger?t=a1n3ec&amp;q=XNAS%3aAGNC&amp;form=skydnc</v>
    <v>Learn more on Bing</v>
  </rv>
  <rv s="1">
    <v>en-US</v>
    <v>a1n3ec</v>
    <v>268435456</v>
    <v>1</v>
    <v>Powered by Refinitiv</v>
    <v>0</v>
    <v>AGNC INVESTMENT CORP. (XNAS:AGNC)</v>
    <v>2</v>
    <v>3</v>
    <v>Finance</v>
    <v>4</v>
    <v>12.19</v>
    <v>9.31</v>
    <v>1.3008</v>
    <v>-0.06</v>
    <v>-5.6230000000000004E-3</v>
    <v>USD</v>
    <v>AGNC Investment Corp. is an investor in Agency residential mortgage-backed securities (Agency MBS), which benefit from a guarantee against credit losses by Federal National Mortgage Association (Fannie Mae), Federal Home Loan Mortgage Corporation (Freddie Mac), or Government National Mortgage Association (Ginnie Mae). The Company's business is a source of private capital for the United States residential housing market. The Company invests on a leveraged basis, financing its Agency MBS assets primarily through repurchase agreements, and utilizes dynamic risk management strategies intended to protect the value of its portfolio from interest rate and other market risks. The Company may also invest in Agency multifamily MBS that are similarly guaranteed by a United States Government-sponsored enterprise (GSE) and in other assets related to the housing, mortgage or real estate markets that are not guaranteed by a GSE or United States Government agency.</v>
    <v>54</v>
    <v>Nasdaq Stock Market</v>
    <v>XNAS</v>
    <v>XNAS</v>
    <v>7373 Wisconsin Avenue, 22Nd Floor, BETHESDA, MD, 20814 US</v>
    <v>10.73</v>
    <v>Residential &amp; Commercial REIT</v>
    <v>Stock</v>
    <v>46240.995744687498</v>
    <v>81</v>
    <v>10.58</v>
    <v>12577953410</v>
    <v>AGNC INVESTMENT CORP.</v>
    <v>AGNC INVESTMENT CORP.</v>
    <v>10.67</v>
    <v>5.5632000000000001</v>
    <v>10.67</v>
    <v>10.61</v>
    <v>1185481000</v>
    <v>AGNC</v>
    <v>AGNC INVESTMENT CORP. (XNAS:AGNC)</v>
    <v>10062</v>
    <v>19570865</v>
    <v>2008</v>
  </rv>
  <rv s="2">
    <v>82</v>
  </rv>
  <rv s="0">
    <v>https://www.bing.com/financeapi/forcetrigger?t=a24xww&amp;q=XNYS%3aUNP&amp;form=skydnc</v>
    <v>Learn more on Bing</v>
  </rv>
  <rv s="1">
    <v>en-US</v>
    <v>a24xww</v>
    <v>268435456</v>
    <v>1</v>
    <v>Powered by Refinitiv</v>
    <v>0</v>
    <v>UNION PACIFIC CORPORATION (XNYS:UNP)</v>
    <v>2</v>
    <v>3</v>
    <v>Finance</v>
    <v>9</v>
    <v>315.99</v>
    <v>210.84</v>
    <v>0.96279999999999999</v>
    <v>-0.16</v>
    <v>-5.4140000000000004E-4</v>
    <v>USD</v>
    <v>Union Pacific Corporation, through its principal operating company, Union Pacific Railroad Company, connects over 23 states in the western two-thirds of the country by rail, providing a critical link in the global supply chain. It maintains coordinated schedules with other rail carriers to move freight to and from the Atlantic Coast, the Pacific Coast, the Southeast, the Southwest, Canada, and Mexico. The railroad’s diversified business mix includes bulk, industrial, and premium. Its Bulk shipments consist of grain and grain products, fertilizer, food and refrigerated, and coal and renewables. The Industrial shipments consist of several categories, including construction, industrial chemicals, plastics, forest products, specialized products (primarily waste, salt, and roofing), metals and ores, petroleum, liquid petroleum gases (LPG), soda ash, and sand. Its Premium shipments include finished automobiles, automotive parts, and merchandise in intermodal containers.</v>
    <v>28786</v>
    <v>New York Stock Exchange</v>
    <v>XNYS</v>
    <v>XNYS</v>
    <v>1400 Douglas Street, OMAHA, NE, 68179 US</v>
    <v>298.14999999999998</v>
    <v>Freight &amp; Logistics Services</v>
    <v>Stock</v>
    <v>46240.982028807812</v>
    <v>84</v>
    <v>294.69499999999999</v>
    <v>175478021190</v>
    <v>UNION PACIFIC CORPORATION</v>
    <v>UNION PACIFIC CORPORATION</v>
    <v>296</v>
    <v>23.92</v>
    <v>295.54000000000002</v>
    <v>295.38</v>
    <v>594075500</v>
    <v>UNP</v>
    <v>UNION PACIFIC CORPORATION (XNYS:UNP)</v>
    <v>25</v>
    <v>3039754</v>
    <v>1969</v>
  </rv>
  <rv s="2">
    <v>85</v>
  </rv>
  <rv s="0">
    <v>https://www.bing.com/financeapi/forcetrigger?t=a23www&amp;q=XNYS%3aT&amp;form=skydnc</v>
    <v>Learn more on Bing</v>
  </rv>
  <rv s="1">
    <v>en-US</v>
    <v>a23www</v>
    <v>268435456</v>
    <v>1</v>
    <v>Powered by Refinitiv</v>
    <v>0</v>
    <v>AT&amp;T INC. (XNYS:T)</v>
    <v>2</v>
    <v>3</v>
    <v>Finance</v>
    <v>4</v>
    <v>29.79</v>
    <v>19.89</v>
    <v>0.20899999999999999</v>
    <v>0.65</v>
    <v>2.8187000000000004E-2</v>
    <v>USD</v>
    <v>AT&amp;T Inc. is a provider of telecommunications and technology services. The Company's segments include Advanced Connectivity, Legacy and Latin America. The Advanced Connectivity segment provides domestic fifth generation (5G) and fiber-based wireless, internet and other advanced connectivity services to consumer and business customers. The Legacy segment provides domestic legacy voice and data services to consumer and business customers over our copper-based network. The Latin America segment provides wireless service and equipment in Mexico. Its plans and services include AT&amp;T Fiber, AT&amp;T Points Plus Card, AT&amp;T Wireless and AT&amp;T Fiber. Its phone plans include Elite 2.0, Premium 2.0, Extra 2.0, and Value 2.0. Its home internet solutions include AT&amp;T Fiber and AT&amp;T Internet Air. It offers phones, tablets, and smartwatches. The Company also offers accessories such as cases, chargers, screen protectors, and headphones.</v>
    <v>130870</v>
    <v>New York Stock Exchange</v>
    <v>XNYS</v>
    <v>XNYS</v>
    <v>208 S. Akard St, DALLAS, TX, 75202 US</v>
    <v>23.71</v>
    <v>Telecommunications Services</v>
    <v>Stock</v>
    <v>46240.999671897654</v>
    <v>87</v>
    <v>23.204999999999998</v>
    <v>162470072060</v>
    <v>AT&amp;T INC.</v>
    <v>AT&amp;T INC.</v>
    <v>23.46</v>
    <v>7.8296999999999999</v>
    <v>23.06</v>
    <v>23.71</v>
    <v>6852386000</v>
    <v>T</v>
    <v>AT&amp;T INC. (XNYS:T)</v>
    <v>8226</v>
    <v>82512281</v>
    <v>1983</v>
  </rv>
  <rv s="2">
    <v>88</v>
  </rv>
  <rv s="0">
    <v>https://www.bing.com/financeapi/forcetrigger?t=a24kjc&amp;q=XNYS%3aTSM&amp;form=skydnc</v>
    <v>Learn more on Bing</v>
  </rv>
  <rv s="1">
    <v>en-US</v>
    <v>a24kjc</v>
    <v>268435456</v>
    <v>1</v>
    <v>Powered by Refinitiv</v>
    <v>0</v>
    <v>Taiwan Semiconductor Manufacturing Company Limited (XNYS:TSM)</v>
    <v>2</v>
    <v>3</v>
    <v>Finance</v>
    <v>4</v>
    <v>479</v>
    <v>223.7</v>
    <v>1.3914</v>
    <v>4.2</v>
    <v>1.0145E-2</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423.91</v>
    <v>Semiconductors &amp; Semiconductor Equipment</v>
    <v>Stock</v>
    <v>46240.999838714844</v>
    <v>90</v>
    <v>407.99</v>
    <v>2168983426800</v>
    <v>Taiwan Semiconductor Manufacturing Company Limited</v>
    <v>Taiwan Semiconductor Manufacturing Company Limited</v>
    <v>409.54</v>
    <v>30.417200000000001</v>
    <v>414</v>
    <v>418.2</v>
    <v>5186474000</v>
    <v>TSM</v>
    <v>Taiwan Semiconductor Manufacturing Company Limited (XNYS:TSM)</v>
    <v>31596</v>
    <v>15121602</v>
    <v>1987</v>
  </rv>
  <rv s="2">
    <v>91</v>
  </rv>
  <rv s="0">
    <v>https://www.bing.com/financeapi/forcetrigger?t=a1sgvh&amp;q=ARCX%3aEWW&amp;form=skydnc</v>
    <v>Learn more on Bing</v>
  </rv>
  <rv s="3">
    <v>en-US</v>
    <v>a1sgvh</v>
    <v>268435456</v>
    <v>1</v>
    <v>Powered by Refinitiv</v>
    <v>5</v>
    <v>iShares:MSCI Mexico (ARCX:EWW)</v>
    <v>6</v>
    <v>7</v>
    <v>Finance</v>
    <v>11</v>
    <v>81.649900000000002</v>
    <v>60.44</v>
    <v>0.80049999999999999</v>
    <v>-0.06</v>
    <v>-7.8240000000000004E-4</v>
    <v>USD</v>
    <v>NYSE Arca</v>
    <v>ARCX</v>
    <v>5.0000000000000001E-3</v>
    <v>77.77</v>
    <v>ETF</v>
    <v>46240.982020057811</v>
    <v>93</v>
    <v>76.48</v>
    <v>1958644047.7</v>
    <v>iShares:MSCI Mexico</v>
    <v>77.23</v>
    <v>76.69</v>
    <v>76.63</v>
    <v>EWW</v>
    <v>iShares:MSCI Mexico (ARCX:EWW)</v>
    <v>1</v>
    <v>1169335</v>
  </rv>
  <rv s="2">
    <v>94</v>
  </rv>
  <rv s="0">
    <v>https://www.bing.com/financeapi/forcetrigger?t=a1mqyc&amp;q=XNYS%3aABR&amp;form=skydnc</v>
    <v>Learn more on Bing</v>
  </rv>
  <rv s="1">
    <v>en-US</v>
    <v>a1mqyc</v>
    <v>268435456</v>
    <v>1</v>
    <v>Powered by Refinitiv</v>
    <v>0</v>
    <v>ARBOR REALTY TRUST, INC. (XNYS:ABR)</v>
    <v>2</v>
    <v>3</v>
    <v>Finance</v>
    <v>9</v>
    <v>12.574999999999999</v>
    <v>4.7300000000000004</v>
    <v>1.1245000000000001</v>
    <v>-0.04</v>
    <v>-7.7370000000000008E-3</v>
    <v>USD</v>
    <v>Arbor Realty Trust, Inc. is a real estate investment trust and direct lender, providing loan origination and servicing for multifamily, single-family rental (SFR) portfolios, and other diverse commercial real estate assets. The Company’s segments include Structured Business and Agency Business. Through its Structured Business, it invests in a diversified portfolio of structured finance assets in the multifamily, SFR and commercial real estate markets, primarily consisting of bridge loans to mezzanine loans, junior participating interests in first mortgages and preferred equity. It also invests in real estate-related joint ventures and may directly acquire real property and invest in real estate-related notes and certain mortgage-related securities. Through its Agency Business, the Company originates, sells, and services a range of multifamily finance products through Housing and Urban Development (HUD), Federal National Mortgage Association (Fannie Mae), among others.</v>
    <v>653</v>
    <v>New York Stock Exchange</v>
    <v>XNYS</v>
    <v>XNYS</v>
    <v>333 EARLE OVINGTON BOULEVARD, SUITE 900, UNIONDALE, NY, 11553 US</v>
    <v>5.2450000000000001</v>
    <v>Residential &amp; Commercial REIT</v>
    <v>Stock</v>
    <v>46240.98203015</v>
    <v>96</v>
    <v>5.1100000000000003</v>
    <v>957042540</v>
    <v>ARBOR REALTY TRUST, INC.</v>
    <v>ARBOR REALTY TRUST, INC.</v>
    <v>5.22</v>
    <v>74.803100000000001</v>
    <v>5.17</v>
    <v>5.13</v>
    <v>186558000</v>
    <v>ABR</v>
    <v>ARBOR REALTY TRUST, INC. (XNYS:ABR)</v>
    <v>1</v>
    <v>4372070</v>
    <v>2003</v>
  </rv>
  <rv s="2">
    <v>97</v>
  </rv>
  <rv s="0">
    <v>https://www.bing.com/financeapi/forcetrigger?t=a1q5qh&amp;q=ARCX%3aCOPX&amp;form=skydnc</v>
    <v>Learn more on Bing</v>
  </rv>
  <rv s="3">
    <v>en-US</v>
    <v>a1q5qh</v>
    <v>268435456</v>
    <v>1</v>
    <v>Powered by Refinitiv</v>
    <v>5</v>
    <v>Glbl X Copper Miners ETF (ARCX:COPX)</v>
    <v>6</v>
    <v>7</v>
    <v>Finance</v>
    <v>10</v>
    <v>99.99</v>
    <v>44.7</v>
    <v>1.4092</v>
    <v>-0.63</v>
    <v>-7.2650000000000006E-3</v>
    <v>USD</v>
    <v>NYSE Arca</v>
    <v>ARCX</v>
    <v>6.5000000000000006E-3</v>
    <v>87.44</v>
    <v>ETF</v>
    <v>46240.99958380781</v>
    <v>99</v>
    <v>85.444999999999993</v>
    <v>7339783540.04</v>
    <v>Glbl X Copper Miners ETF</v>
    <v>86.67</v>
    <v>86.72</v>
    <v>86.09</v>
    <v>COPX</v>
    <v>Glbl X Copper Miners ETF (ARCX:COPX)</v>
    <v>14978</v>
    <v>2726611</v>
  </rv>
  <rv s="2">
    <v>100</v>
  </rv>
  <rv s="0">
    <v>https://www.bing.com/financeapi/forcetrigger?t=a25hur&amp;q=ARCX%3aVOT&amp;form=skydnc</v>
    <v>Learn more on Bing</v>
  </rv>
  <rv s="3">
    <v>en-US</v>
    <v>a25hur</v>
    <v>268435456</v>
    <v>1</v>
    <v>Powered by Refinitiv</v>
    <v>5</v>
    <v>Vanguard:Morn MC G I;ETF (ARCX:VOT)</v>
    <v>6</v>
    <v>7</v>
    <v>Finance</v>
    <v>11</v>
    <v>309.69990000000001</v>
    <v>248.23</v>
    <v>0.92469999999999997</v>
    <v>0</v>
    <v>0</v>
    <v>USD</v>
    <v>NYSE Arca</v>
    <v>ARCX</v>
    <v>5.0000000000000001E-4</v>
    <v>306.06560000000002</v>
    <v>ETF</v>
    <v>46241.000001839842</v>
    <v>102</v>
    <v>301.91500000000002</v>
    <v>19109691684</v>
    <v>Vanguard:Morn MC G I;ETF</v>
    <v>302.5</v>
    <v>302.02999999999997</v>
    <v>302.02999999999997</v>
    <v>VOT</v>
    <v>Vanguard:Morn MC G I;ETF (ARCX:VOT)</v>
    <v>212788</v>
    <v>204963</v>
  </rv>
  <rv s="2">
    <v>103</v>
  </rv>
  <rv s="0">
    <v>https://www.bing.com/financeapi/forcetrigger?t=a33k6h&amp;q=S%26P+500+INDEX&amp;form=skydnc</v>
    <v>Learn more on Bing</v>
  </rv>
  <rv s="4">
    <v>en-US</v>
    <v>a33k6h</v>
    <v>268435456</v>
    <v>1</v>
    <v>Powered by Refinitiv</v>
    <v>12</v>
    <v>S&amp;P 500 INDEX</v>
    <v>6</v>
    <v>13</v>
    <v>Finance</v>
    <v>14</v>
    <v>7793.68</v>
    <v>6316.91</v>
    <v>-13.59</v>
    <v>-1.7599999999999998E-3</v>
    <v>DE</v>
    <v>7742.85</v>
    <v>Index</v>
    <v>105</v>
    <v>7698.15</v>
    <v>S&amp;P 500 INDEX</v>
    <v>7713.79</v>
    <v>7723.55</v>
    <v>7709.96</v>
    <v>INX</v>
    <v>S&amp;P 500 INDEX</v>
  </rv>
  <rv s="2">
    <v>106</v>
  </rv>
  <rv s="0">
    <v>https://www.bing.com/financeapi/forcetrigger?t=a24zk2&amp;q=ARCX%3aURTH&amp;form=skydnc</v>
    <v>Learn more on Bing</v>
  </rv>
  <rv s="3">
    <v>en-US</v>
    <v>a24zk2</v>
    <v>268435456</v>
    <v>1</v>
    <v>Powered by Refinitiv</v>
    <v>5</v>
    <v>iShares:MSCI World (ARCX:URTH)</v>
    <v>6</v>
    <v>7</v>
    <v>Finance</v>
    <v>11</v>
    <v>210.66</v>
    <v>171.64</v>
    <v>0.98229999999999995</v>
    <v>-0.52</v>
    <v>-2.4859999999999999E-3</v>
    <v>USD</v>
    <v>NYSE Arca</v>
    <v>ARCX</v>
    <v>2.3999999999999998E-3</v>
    <v>209.64</v>
    <v>ETF</v>
    <v>46240.990677928123</v>
    <v>108</v>
    <v>208.44</v>
    <v>7996919971.7399998</v>
    <v>iShares:MSCI World</v>
    <v>209.26</v>
    <v>209.15</v>
    <v>208.63</v>
    <v>URTH</v>
    <v>iShares:MSCI World (ARCX:URTH)</v>
    <v>1025803</v>
    <v>424880</v>
  </rv>
  <rv s="2">
    <v>109</v>
  </rv>
  <rv s="0">
    <v>https://www.bing.com/financeapi/forcetrigger?t=aoamz2&amp;q=XLON%3aIWDA&amp;form=skydnc</v>
    <v>Learn more on Bing</v>
  </rv>
  <rv s="5">
    <v>en-US</v>
    <v>aoamz2</v>
    <v>268435456</v>
    <v>1</v>
    <v>Powered by Refinitiv</v>
    <v>15</v>
    <v>iShs CoreMSCI Wld ETF USD A (XLON:IWDA)</v>
    <v>6</v>
    <v>16</v>
    <v>Finance</v>
    <v>17</v>
    <v>161.35</v>
    <v>118.09</v>
    <v>0.99860000000000004</v>
    <v>0.28000000000000003</v>
    <v>1.897E-3</v>
    <v>USD</v>
    <v>London Stock Exchange</v>
    <v>XLON</v>
    <v>2E-3</v>
    <v>147.88999999999999</v>
    <v>ETF</v>
    <v>46241.336102221874</v>
    <v>111</v>
    <v>147.76</v>
    <v>143489515956.31</v>
    <v>iShs CoreMSCI Wld ETF USD A</v>
    <v>147.79</v>
    <v>147.63</v>
    <v>147.91</v>
    <v>IWDA</v>
    <v>iShs CoreMSCI Wld ETF USD A (XLON:IWDA)</v>
    <v>11816</v>
  </rv>
  <rv s="2">
    <v>112</v>
  </rv>
  <rv s="0">
    <v>https://www.bing.com/financeapi/forcetrigger?t=a1v9r7&amp;q=ARCX%3aIDEV&amp;form=skydnc</v>
    <v>Learn more on Bing</v>
  </rv>
  <rv s="3">
    <v>en-US</v>
    <v>a1v9r7</v>
    <v>268435456</v>
    <v>1</v>
    <v>Powered by Refinitiv</v>
    <v>5</v>
    <v>iShares:Cr MSCI Intl DM (ARCX:IDEV)</v>
    <v>6</v>
    <v>7</v>
    <v>Finance</v>
    <v>11</v>
    <v>92.77</v>
    <v>76.569999999999993</v>
    <v>0.95989999999999998</v>
    <v>0</v>
    <v>0</v>
    <v>USD</v>
    <v>NYSE Arca</v>
    <v>ARCX</v>
    <v>4.0000000000000002E-4</v>
    <v>92.7</v>
    <v>ETF</v>
    <v>46241.000001839842</v>
    <v>114</v>
    <v>92.161000000000001</v>
    <v>31637444158.080002</v>
    <v>iShares:Cr MSCI Intl DM</v>
    <v>92.55</v>
    <v>92.28</v>
    <v>92.28</v>
    <v>IDEV</v>
    <v>iShares:Cr MSCI Intl DM (ARCX:IDEV)</v>
    <v>1462927</v>
    <v>1602153</v>
  </rv>
  <rv s="2">
    <v>115</v>
  </rv>
  <rv s="0">
    <v>https://www.bing.com/financeapi/forcetrigger?t=a7a7hw&amp;q=Vanguard+Value+Index+Fund%3bAdmiral&amp;form=skydnc</v>
    <v>Learn more on Bing</v>
  </rv>
  <rv s="6">
    <v>en-US</v>
    <v>a7a7hw</v>
    <v>268435456</v>
    <v>1</v>
    <v>Powered by Refinitiv</v>
    <v>18</v>
    <v>Vanguard Morningstar Value Index Fund;Admiral</v>
    <v>19</v>
    <v>20</v>
    <v>Finance</v>
    <v>21</v>
    <v>-0.24</v>
    <v>-2.7460000000000002E-3</v>
    <v>US</v>
    <v>USD</v>
    <v>5.0000000000000001E-4</v>
    <v>Mutual Fund</v>
    <v>46240.947916666664</v>
    <v>46241.210574367185</v>
    <v>117</v>
    <v>Vanguard Morningstar Value Index Fund;Admiral</v>
    <v>155612759</v>
    <v>87.39</v>
    <v>87.15</v>
    <v>3.7522000000000002</v>
    <v>1.8106999999999998E-2</v>
    <v>1.3136000000000002E-2</v>
    <v>0.28833900000000001</v>
    <v>7.9197000000000004E-2</v>
    <v>0.18198499999999998</v>
    <v>0.12400800000000001</v>
    <v>0.18187999999999999</v>
    <v>VVIAX</v>
    <v>Vanguard Morningstar Value Index Fund;Admiral</v>
  </rv>
  <rv s="2">
    <v>118</v>
  </rv>
  <rv s="0">
    <v>http://en.wikipedia.org/wiki/Public_domain</v>
    <v>Public domain</v>
  </rv>
  <rv s="0">
    <v>https://en.wikipedia.org/wiki/Microsoft</v>
    <v>Wikipedia</v>
  </rv>
  <rv s="7">
    <v>120</v>
    <v>121</v>
  </rv>
  <rv s="8">
    <v>26</v>
    <v>https://www.bing.com/th?id=AMMS_e6e837c7bf3a77408619758b7447855a&amp;qlt=95</v>
    <v>122</v>
    <v>0</v>
    <v>https://www.bing.com/images/search?form=xlimg&amp;q=microsoft</v>
    <v>Image of MICROSOFT CORPORATION</v>
  </rv>
  <rv s="0">
    <v>https://www.bing.com/financeapi/forcetrigger?t=a1xzim&amp;q=XNAS%3aMSFT&amp;form=skydnc</v>
    <v>Learn more on Bing</v>
  </rv>
  <rv s="9">
    <v>en-US</v>
    <v>a1xzim</v>
    <v>268435456</v>
    <v>1</v>
    <v>Powered by Refinitiv</v>
    <v>22</v>
    <v>MICROSOFT CORPORATION (XNAS:MSFT)</v>
    <v>24</v>
    <v>25</v>
    <v>Finance</v>
    <v>4</v>
    <v>553.72</v>
    <v>349.2</v>
    <v>1.1022000000000001</v>
    <v>12.4</v>
    <v>2.5438000000000002E-2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223000</v>
    <v>Nasdaq Stock Market</v>
    <v>XNAS</v>
    <v>XNAS</v>
    <v>One Microsoft Way, REDMOND, WA, 98052 US</v>
    <v>501.55500000000001</v>
    <v>123</v>
    <v>Software &amp; IT Services</v>
    <v>Stock</v>
    <v>46240.999976978906</v>
    <v>124</v>
    <v>488.52</v>
    <v>3711732923700</v>
    <v>MICROSOFT CORPORATION</v>
    <v>MICROSOFT CORPORATION</v>
    <v>488.55</v>
    <v>27.852499999999999</v>
    <v>487.46</v>
    <v>499.86</v>
    <v>7425545000</v>
    <v>MSFT</v>
    <v>MICROSOFT CORPORATION (XNAS:MSFT)</v>
    <v>113151</v>
    <v>38631601</v>
    <v>1993</v>
  </rv>
  <rv s="2">
    <v>125</v>
  </rv>
  <rv s="0">
    <v>https://www.bing.com/financeapi/forcetrigger?t=a257nm&amp;q=ARCX%3aVBR&amp;form=skydnc</v>
    <v>Learn more on Bing</v>
  </rv>
  <rv s="3">
    <v>en-US</v>
    <v>a257nm</v>
    <v>268435456</v>
    <v>1</v>
    <v>Powered by Refinitiv</v>
    <v>5</v>
    <v>Vanguard:Morn SCV I;ETF (ARCX:VBR)</v>
    <v>6</v>
    <v>7</v>
    <v>Finance</v>
    <v>11</v>
    <v>251.6601</v>
    <v>197.11699999999999</v>
    <v>0.98319999999999996</v>
    <v>0</v>
    <v>0</v>
    <v>USD</v>
    <v>NYSE Arca</v>
    <v>ARCX</v>
    <v>5.0000000000000001E-4</v>
    <v>250.78</v>
    <v>ETF</v>
    <v>46241.00000013828</v>
    <v>127</v>
    <v>248.1763</v>
    <v>37262043756</v>
    <v>Vanguard:Morn SCV I;ETF</v>
    <v>250.78</v>
    <v>248.41</v>
    <v>248.41</v>
    <v>VBR</v>
    <v>Vanguard:Morn SCV I;ETF (ARCX:VBR)</v>
    <v>1</v>
    <v>233730</v>
  </rv>
  <rv s="2">
    <v>128</v>
  </rv>
  <rv s="0">
    <v>https://www.bing.com/financeapi/forcetrigger?t=a1rla2&amp;q=XNYS%3aECC&amp;form=skydnc</v>
    <v>Learn more on Bing</v>
  </rv>
  <rv s="10">
    <v>en-US</v>
    <v>a1rla2</v>
    <v>268435456</v>
    <v>1</v>
    <v>Powered by Refinitiv</v>
    <v>27</v>
    <v>Eagle Point Credit (XNYS:ECC)</v>
    <v>6</v>
    <v>28</v>
    <v>Finance</v>
    <v>11</v>
    <v>7.77</v>
    <v>3.46</v>
    <v>0.04</v>
    <v>1.0363000000000001E-2</v>
    <v>USD</v>
    <v>New York Stock Exchange</v>
    <v>XNYS</v>
    <v>9.2100000000000015E-2</v>
    <v>3.91</v>
    <v>ETF</v>
    <v>46240.983831932812</v>
    <v>130</v>
    <v>3.83</v>
    <v>611849440.79999995</v>
    <v>Eagle Point Credit</v>
    <v>3.83</v>
    <v>3.86</v>
    <v>3.9</v>
    <v>ECC</v>
    <v>Eagle Point Credit (XNYS:ECC)</v>
    <v>40</v>
    <v>891849</v>
  </rv>
  <rv s="2">
    <v>131</v>
  </rv>
  <rv s="11">
    <v>12</v>
    <v>Beta</v>
    <v>0</v>
  </rv>
  <rv s="0">
    <v>https://www.bing.com/financeapi/forcetrigger?t=azgv7w&amp;q=XNYS%3aSPOT&amp;form=skydnc</v>
    <v>Learn more on Bing</v>
  </rv>
  <rv s="1">
    <v>en-US</v>
    <v>azgv7w</v>
    <v>268435456</v>
    <v>1</v>
    <v>Powered by Refinitiv</v>
    <v>0</v>
    <v>Spotify Technology SA (XNYS:SPOT)</v>
    <v>2</v>
    <v>3</v>
    <v>Finance</v>
    <v>9</v>
    <v>748.3</v>
    <v>405</v>
    <v>1.5650999999999999</v>
    <v>-7.16</v>
    <v>-1.4847999999999998E-2</v>
    <v>USD</v>
    <v>Spotify Technology SA a Luxembourg-based company, which offers digital music-streaming services. The Company enables users to discover new releases, which includes the latest singles and albums; playlists, which includes ready-made playlists put together by music fans and experts, and over millions of songs so that users can play their favorites, discover new tracks and build a personalized collection. Its users can either select Spotify Free, which includes only shuffle play or Spotify Premium, which encompasses a range of features, such as shuffle play, advertisement free, unlimited skips, listen offline, play any track and audio. The Company operates through a number of subsidiaries, including Spotify LTD and is present in over 20 countries. Its service offers a music listening experience without commercial breaks.</v>
    <v>7287</v>
    <v>New York Stock Exchange</v>
    <v>XNYS</v>
    <v>XNYS</v>
    <v>33, Boulevard Prince Henri, LUXEMBOURG, 1724 LU</v>
    <v>494.56</v>
    <v>Software &amp; IT Services</v>
    <v>Stock</v>
    <v>46240.998065242966</v>
    <v>134</v>
    <v>471.28</v>
    <v>97683940907</v>
    <v>Spotify Technology SA</v>
    <v>Spotify Technology SA</v>
    <v>481.25</v>
    <v>26.249099999999999</v>
    <v>482.23</v>
    <v>475.07</v>
    <v>205620100</v>
    <v>SPOT</v>
    <v>Spotify Technology SA (XNYS:SPOT)</v>
    <v>245</v>
    <v>1881608</v>
    <v>2007</v>
  </rv>
  <rv s="2">
    <v>135</v>
  </rv>
  <rv s="0">
    <v>https://www.bing.com/financeapi/forcetrigger?t=a25ya2&amp;q=XNYS%3aWMT&amp;form=skydnc</v>
    <v>Learn more on Bing</v>
  </rv>
  <rv s="1">
    <v>en-US</v>
    <v>a25ya2</v>
    <v>268435456</v>
    <v>1</v>
    <v>Powered by Refinitiv</v>
    <v>0</v>
    <v>WALMART INC. (XNAS:WMT)</v>
    <v>2</v>
    <v>3</v>
    <v>Finance</v>
    <v>4</v>
    <v>135.155</v>
    <v>95.42</v>
    <v>0.60270000000000001</v>
    <v>-0.27</v>
    <v>-2.4030000000000002E-3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as well as eCommerce, which includes omnichannel initiatives. The Sam's Club U.S. segment includes the warehouse membership clubs in the U.S., as well as eCommerce, which includes omnichannel initiatives.</v>
    <v>2100000</v>
    <v>Nasdaq Stock Market</v>
    <v>XNAS</v>
    <v>XNAS</v>
    <v>1 Customer Drive, BENTONVILLE, AR, 72716 US</v>
    <v>114.56</v>
    <v>Food &amp; Drug Retailing</v>
    <v>Stock</v>
    <v>46240.999631631254</v>
    <v>137</v>
    <v>111.035</v>
    <v>891861913530</v>
    <v>WALMART INC.</v>
    <v>WALMART INC.</v>
    <v>114.065</v>
    <v>39.480600000000003</v>
    <v>112.34</v>
    <v>112.07</v>
    <v>7958079000</v>
    <v>WMT</v>
    <v>WALMART INC. (XNAS:WMT)</v>
    <v>13110</v>
    <v>22689851</v>
    <v>1969</v>
  </rv>
  <rv s="2">
    <v>138</v>
  </rv>
  <rv s="0">
    <v>https://www.bing.com/financeapi/forcetrigger?t=a1wljc&amp;q=XNYS%3aKO&amp;form=skydnc</v>
    <v>Learn more on Bing</v>
  </rv>
  <rv s="1">
    <v>en-US</v>
    <v>a1wljc</v>
    <v>268435456</v>
    <v>1</v>
    <v>Powered by Refinitiv</v>
    <v>0</v>
    <v>THE COCA-COLA COMPANY (XNYS:KO)</v>
    <v>2</v>
    <v>3</v>
    <v>Finance</v>
    <v>4</v>
    <v>90.92</v>
    <v>65.353800000000007</v>
    <v>0.33829999999999999</v>
    <v>0.02</v>
    <v>2.3029999999999999E-4</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87.97</v>
    <v>Beverages</v>
    <v>Stock</v>
    <v>46240.999930010934</v>
    <v>140</v>
    <v>86.42</v>
    <v>373676380650</v>
    <v>THE COCA-COLA COMPANY</v>
    <v>THE COCA-COLA COMPANY</v>
    <v>87.86</v>
    <v>26.164200000000001</v>
    <v>86.83</v>
    <v>86.85</v>
    <v>4302549000</v>
    <v>KO</v>
    <v>THE COCA-COLA COMPANY (XNYS:KO)</v>
    <v>2985</v>
    <v>17721902</v>
    <v>1919</v>
  </rv>
  <rv s="2">
    <v>141</v>
  </rv>
  <rv s="0">
    <v>https://www.bing.com/financeapi/forcetrigger?t=a1vjbh&amp;q=XNAS%3aINCY&amp;form=skydnc</v>
    <v>Learn more on Bing</v>
  </rv>
  <rv s="1">
    <v>en-US</v>
    <v>a1vjbh</v>
    <v>268435456</v>
    <v>1</v>
    <v>Powered by Refinitiv</v>
    <v>0</v>
    <v>INCYTE CORPORATION (XNAS:INCY)</v>
    <v>2</v>
    <v>3</v>
    <v>Finance</v>
    <v>9</v>
    <v>132.6</v>
    <v>76.790000000000006</v>
    <v>0.76480000000000004</v>
    <v>-1.42</v>
    <v>-1.1853000000000001E-2</v>
    <v>USD</v>
    <v>Incyte Corporation is a biopharmaceutical company engaged in the discovery, development, and commercialization of therapeutics. It operates in three therapeutic areas: Hematology, Oncology, and Inflammation and Autoimmunity. Its hematology franchise includes four approved products, JAKAFI (ruxolitinib), ICLUSIG (ponatinib), MONJUVI (tafasitamab-cxix)/MINJUVI (tafasitamab) and NIKTIMVO (axatilimab-csfr), as well as multiple clinical development programs. Its oncology franchise includes two approved products, PEMAZYRE (pemigatinib) and ZYNYZ (retifanlimab-dlwr), as well as several clinical development programs. Its Inflammation and Autoimmunity franchise consists of one approved product, OPZELURA (ruxolitinib) cream, with several clinical programs in development. It also includes VGA039, a novel monoclonal antibody in Phase III development for von Willebrand disease (VWD). It manages business activities through the development and commercialization of oncology and dermatology products.</v>
    <v>2844</v>
    <v>Nasdaq Stock Market</v>
    <v>XNAS</v>
    <v>XNAS</v>
    <v>1801 Augustine Cut-Off, WILMINGTON, DE, 19803 US</v>
    <v>120.29</v>
    <v>Pharmaceuticals</v>
    <v>Stock</v>
    <v>46240.987773043751</v>
    <v>143</v>
    <v>115.77</v>
    <v>23995365564</v>
    <v>INCYTE CORPORATION</v>
    <v>INCYTE CORPORATION</v>
    <v>119.8</v>
    <v>15.0846</v>
    <v>119.8</v>
    <v>118.38</v>
    <v>202697800</v>
    <v>INCY</v>
    <v>INCYTE CORPORATION (XNAS:INCY)</v>
    <v>4</v>
    <v>1910159</v>
    <v>1991</v>
  </rv>
  <rv s="2">
    <v>144</v>
  </rv>
  <rv s="0">
    <v>https://www.bing.com/financeapi/forcetrigger?t=a1vjec&amp;q=BATS%3aINDA&amp;form=skydnc</v>
    <v>Learn more on Bing</v>
  </rv>
  <rv s="3">
    <v>en-US</v>
    <v>a1vjec</v>
    <v>268435456</v>
    <v>1</v>
    <v>Powered by Refinitiv</v>
    <v>5</v>
    <v>iShares:MSCI India (BATS:INDA)</v>
    <v>6</v>
    <v>7</v>
    <v>Finance</v>
    <v>8</v>
    <v>55.5</v>
    <v>45.211799999999997</v>
    <v>0.80579999999999996</v>
    <v>-0.19</v>
    <v>-3.777E-3</v>
    <v>USD</v>
    <v>CBOE BZX Exchange</v>
    <v>BATS</v>
    <v>6.0999999999999995E-3</v>
    <v>50.325000000000003</v>
    <v>ETF</v>
    <v>46240.98567986094</v>
    <v>146</v>
    <v>50.08</v>
    <v>6556907148.5299997</v>
    <v>iShares:MSCI India</v>
    <v>50.27</v>
    <v>50.31</v>
    <v>50.12</v>
    <v>INDA</v>
    <v>iShares:MSCI India (BATS:INDA)</v>
    <v>7</v>
    <v>6077711</v>
  </rv>
  <rv s="2">
    <v>147</v>
  </rv>
  <rv s="0">
    <v>https://www.bing.com/financeapi/forcetrigger?t=a1vy9c&amp;q=ARCX%3aIXC&amp;form=skydnc</v>
    <v>Learn more on Bing</v>
  </rv>
  <rv s="3">
    <v>en-US</v>
    <v>a1vy9c</v>
    <v>268435456</v>
    <v>1</v>
    <v>Powered by Refinitiv</v>
    <v>5</v>
    <v>iShares:Glbl Energy (ARCX:IXC)</v>
    <v>6</v>
    <v>7</v>
    <v>Finance</v>
    <v>11</v>
    <v>59.18</v>
    <v>39.454999999999998</v>
    <v>1.0148999999999999</v>
    <v>0.7</v>
    <v>1.3101E-2</v>
    <v>USD</v>
    <v>NYSE Arca</v>
    <v>ARCX</v>
    <v>3.8E-3</v>
    <v>54.36</v>
    <v>ETF</v>
    <v>46240.982058008594</v>
    <v>149</v>
    <v>53.7</v>
    <v>2864302095.0100002</v>
    <v>iShares:Glbl Energy</v>
    <v>54.35</v>
    <v>53.43</v>
    <v>54.13</v>
    <v>IXC</v>
    <v>iShares:Glbl Energy (ARCX:IXC)</v>
    <v>88</v>
    <v>1233044</v>
  </rv>
  <rv s="2">
    <v>150</v>
  </rv>
  <rv s="0">
    <v>https://www.bing.com/financeapi/forcetrigger?t=a23eyc&amp;q=ARCX%3aSPMO&amp;form=skydnc</v>
    <v>Learn more on Bing</v>
  </rv>
  <rv s="3">
    <v>en-GB</v>
    <v>a23eyc</v>
    <v>268435456</v>
    <v>1</v>
    <v>Powered by Refinitiv</v>
    <v>5</v>
    <v>Invesco S&amp;P500 Momnt (ARCX:SPMO)</v>
    <v>6</v>
    <v>7</v>
    <v>Finance</v>
    <v>11</v>
    <v>162.30000000000001</v>
    <v>107.24</v>
    <v>1.0794999999999999</v>
    <v>-1.17</v>
    <v>-7.7859999999999995E-3</v>
    <v>USD</v>
    <v>NYSE Arca</v>
    <v>ARCX</v>
    <v>1.2999999999999999E-3</v>
    <v>151</v>
    <v>ETF</v>
    <v>46240.999740161722</v>
    <v>152</v>
    <v>147.43</v>
    <v>21050260423.310001</v>
    <v>Invesco S&amp;P500 Momnt</v>
    <v>148.405</v>
    <v>150.27000000000001</v>
    <v>149.1</v>
    <v>SPMO</v>
    <v>Invesco S&amp;P500 Momnt (ARCX:SPMO)</v>
    <v>1623</v>
    <v>2373593</v>
  </rv>
  <rv s="2">
    <v>153</v>
  </rv>
  <rv s="0">
    <v>https://www.bing.com/financeapi/forcetrigger?t=bumqbh&amp;q=XNYS%3aFOUR&amp;form=skydnc</v>
    <v>Learn more on Bing</v>
  </rv>
  <rv s="1">
    <v>en-US</v>
    <v>bumqbh</v>
    <v>268435456</v>
    <v>1</v>
    <v>Powered by Refinitiv</v>
    <v>0</v>
    <v>SHIFT4 PAYMENTS, INC. (XNYS:FOUR)</v>
    <v>2</v>
    <v>3</v>
    <v>Finance</v>
    <v>4</v>
    <v>92.79</v>
    <v>34.56</v>
    <v>1.4035</v>
    <v>-9.9700000000000006</v>
    <v>-0.186774</v>
    <v>USD</v>
    <v>Shift4 Payments, Inc. is engaged in commerce-enabling technology. The Company is a provider of software and payment processing solutions in the United States based on the total volume of payments processed. Its payments platform provides omnichannel card acceptance and processing solutions across multiple payment types, including credit, debit, contactless card, Europay, MasterCard and Visa (EMV), QR Pay, and mobile wallets, as well as alternative payment methods, such as Apple Pay, Google Pay, Alipay and WeChat Pay. Through its proprietary gateway, its payments platform is integrated with hundreds of software suites. It enables connectivity with the payment processors, alternative payment rails and many different payment devices. Its suite of technology solutions includes SkyTab POS, SkyTab Mobile, SkyTab Venue, Lighthouse, The Giving Block, Shift4Shop, Marketplace and TFS Services. Its SkyTab POS offering helps its merchants scale their business and improve operational efficiency.</v>
    <v>6300</v>
    <v>New York Stock Exchange</v>
    <v>XNYS</v>
    <v>XNYS</v>
    <v>3501 Corporate Parkway, CENTER VALLEY, PA, 18034 US</v>
    <v>47.45</v>
    <v>Professional &amp; Commercial Services</v>
    <v>Stock</v>
    <v>46240.997941457812</v>
    <v>155</v>
    <v>42.43</v>
    <v>3443667548</v>
    <v>SHIFT4 PAYMENTS, INC.</v>
    <v>SHIFT4 PAYMENTS, INC.</v>
    <v>47.45</v>
    <v>49.085900000000002</v>
    <v>53.38</v>
    <v>43.41</v>
    <v>79328900</v>
    <v>FOUR</v>
    <v>SHIFT4 PAYMENTS, INC. (XNYS:FOUR)</v>
    <v>1189</v>
    <v>1095299</v>
    <v>2019</v>
  </rv>
  <rv s="2">
    <v>156</v>
  </rv>
  <rv s="0">
    <v>https://www.bing.com/financeapi/forcetrigger?t=a25ma2&amp;q=ARCX%3aVTV&amp;form=skydnc</v>
    <v>Learn more on Bing</v>
  </rv>
  <rv s="3">
    <v>en-US</v>
    <v>a25ma2</v>
    <v>268435456</v>
    <v>1</v>
    <v>Powered by Refinitiv</v>
    <v>5</v>
    <v>Vanguard:Morn Val I;ETF (ARCX:VTV)</v>
    <v>6</v>
    <v>7</v>
    <v>Finance</v>
    <v>11</v>
    <v>225.06</v>
    <v>176.23</v>
    <v>0.88600000000000001</v>
    <v>-0.62</v>
    <v>-2.7680000000000001E-3</v>
    <v>USD</v>
    <v>NYSE Arca</v>
    <v>ARCX</v>
    <v>2.9999999999999997E-4</v>
    <v>225.06</v>
    <v>ETF</v>
    <v>46240.999835532028</v>
    <v>158</v>
    <v>222.94</v>
    <v>187812589802</v>
    <v>Vanguard:Morn Val I;ETF</v>
    <v>225.06</v>
    <v>223.99</v>
    <v>223.37</v>
    <v>VTV</v>
    <v>Vanguard:Morn Val I;ETF (ARCX:VTV)</v>
    <v>207</v>
    <v>3118686</v>
  </rv>
  <rv s="2">
    <v>159</v>
  </rv>
  <rv s="0">
    <v>https://www.bing.com/financeapi/forcetrigger?t=a22k9c&amp;q=XNAS%3aSBUX&amp;form=skydnc</v>
    <v>Learn more on Bing</v>
  </rv>
  <rv s="1">
    <v>en-US</v>
    <v>a22k9c</v>
    <v>268435456</v>
    <v>1</v>
    <v>Powered by Refinitiv</v>
    <v>0</v>
    <v>STARBUCKS CORPORATION (XNAS:SBUX)</v>
    <v>2</v>
    <v>3</v>
    <v>Finance</v>
    <v>4</v>
    <v>109.23</v>
    <v>77.989999999999995</v>
    <v>0.9637</v>
    <v>-0.84</v>
    <v>-7.9249999999999998E-3</v>
    <v>USD</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381000</v>
    <v>Nasdaq Stock Market</v>
    <v>XNAS</v>
    <v>XNAS</v>
    <v>2401 Utah Ave S, Ms: S-La1, SEATTLE, WA, 98134 US</v>
    <v>106.285</v>
    <v>Hotels &amp; Entertainment Services</v>
    <v>Stock</v>
    <v>46240.994910358597</v>
    <v>161</v>
    <v>103.6905</v>
    <v>119882400000</v>
    <v>STARBUCKS CORPORATION</v>
    <v>STARBUCKS CORPORATION</v>
    <v>106.14</v>
    <v>60.633000000000003</v>
    <v>106</v>
    <v>105.16</v>
    <v>1140000000</v>
    <v>SBUX</v>
    <v>STARBUCKS CORPORATION (XNAS:SBUX)</v>
    <v>3839</v>
    <v>7821499</v>
    <v>1985</v>
  </rv>
  <rv s="2">
    <v>162</v>
  </rv>
  <rv s="12">
    <v>en-US</v>
    <v>cd9jsm</v>
    <v>268435456</v>
    <v>1</v>
    <v>Powered by Refinitiv</v>
    <v>29</v>
    <v>TEMPUS AI, INC. (XNAS:TEM)</v>
    <v>30</v>
    <v>3</v>
    <v>Finance</v>
    <v>4</v>
    <v>104.32</v>
    <v>40.770000000000003</v>
    <v>3.149</v>
    <v>-0.57999999999999996</v>
    <v>-1.242E-2</v>
    <v>USD</v>
    <v>Tempus AI, Inc. is a technology company advancing precision medicine through the practical application of artificial intelligence in healthcare. It offers AI-enabled precision medicine solutions to physicians to deliver personalized patient care and, in parallel, facilitates discovery, development and delivery of optimal therapeutics. It provides three product lines: Genomics, Data and artificial intelligence applications (AI). The Genomics product line leverages its laboratories to provide next generation sequencing (NGS) diagnostics, polymerase chain reaction, profiling, molecular genotyping and other anatomic and molecular pathology testing. The data generated in its lab or ingested into its platform is structured and de-identified, prior to commercialization. Its AI Applications is focused on developing and providing diagnostics that are algorithmic in nature, implementing new software as a medical device, and building and deploying clinical decision support tools.</v>
    <v>3800</v>
    <v>Nasdaq Stock Market</v>
    <v>XNAS</v>
    <v>XNAS</v>
    <v>600 West Chicago Avenue, Suite 510, CHICAGO, IL, 60654 US</v>
    <v>46.749899999999997</v>
    <v>Biotechnology &amp; Medical Research</v>
    <v>Stock</v>
    <v>46240.999915428125</v>
    <v>44.8</v>
    <v>8321652976</v>
    <v>TEMPUS AI, INC.</v>
    <v>TEMPUS AI, INC.</v>
    <v>45.32</v>
    <v>0</v>
    <v>46.7</v>
    <v>46.12</v>
    <v>180434800</v>
    <v>TEM</v>
    <v>TEMPUS AI, INC. (XNAS:TEM)</v>
    <v>8817</v>
    <v>5226971</v>
    <v>2025</v>
  </rv>
  <rv s="2">
    <v>164</v>
  </rv>
  <rv s="0">
    <v>https://www.bing.com/financeapi/forcetrigger?t=c64l2w&amp;q=XNAS%3aJEPQ&amp;form=skydnc</v>
    <v>Learn more on Bing</v>
  </rv>
  <rv s="3">
    <v>en-GB</v>
    <v>c64l2w</v>
    <v>268435456</v>
    <v>1</v>
    <v>Powered by Refinitiv</v>
    <v>5</v>
    <v>JPMorgan:Nsdq Eq Prm Inc (XNAS:JEPQ)</v>
    <v>6</v>
    <v>7</v>
    <v>Finance</v>
    <v>10</v>
    <v>61.72</v>
    <v>53.51</v>
    <v>0.75149999999999995</v>
    <v>-0.04</v>
    <v>-6.736E-4</v>
    <v>USD</v>
    <v>Nasdaq Stock Market</v>
    <v>XNAS</v>
    <v>3.4999999999999996E-3</v>
    <v>59.52</v>
    <v>ETF</v>
    <v>46240.999712546094</v>
    <v>166</v>
    <v>58.87</v>
    <v>39876793963.790001</v>
    <v>JPMorgan:Nsdq Eq Prm Inc</v>
    <v>59.07</v>
    <v>59.38</v>
    <v>59.34</v>
    <v>JEPQ</v>
    <v>JPMorgan:Nsdq Eq Prm Inc (XNAS:JEPQ)</v>
    <v>25406</v>
    <v>7348169</v>
  </rv>
  <rv s="2">
    <v>167</v>
  </rv>
  <rv s="0">
    <v>https://www.bing.com/financeapi/forcetrigger?t=c4xjc7&amp;q=XNAS%3aCEG&amp;form=skydnc</v>
    <v>Learn more on Bing</v>
  </rv>
  <rv s="1">
    <v>en-GB</v>
    <v>c4xjc7</v>
    <v>268435456</v>
    <v>1</v>
    <v>Powered by Refinitiv</v>
    <v>0</v>
    <v>CONSTELLATION ENERGY CORPORATION. (XNAS:CEG)</v>
    <v>2</v>
    <v>3</v>
    <v>Finance</v>
    <v>4</v>
    <v>412.7</v>
    <v>228.63</v>
    <v>1.1079000000000001</v>
    <v>-4.0199999999999996</v>
    <v>-1.5162999999999999E-2</v>
    <v>USD</v>
    <v>Constellation Energy Corporation is a producer of emissions-free energy and an energy supplier to businesses, homes and public sector customers nationwide. The Company’s nuclear, hydro, wind, and solar generation facilities have the generating capacity to power the equivalent of 27 million homes, providing about 10% of the nation’s clean energy. Its segments include Mid-Atlantic, Midwest, New York, ERCOT, and Other Power Regions. Through its integrated business operations, it sells electricity, natural gas, and other energy-related products and sustainable solutions to various types of customers, including distribution utilities, municipalities, cooperatives, commercial, industrial, public sector, and residential customers in markets across multiple geographic regions. It operates approximately 55 gigawatts of capacity from nuclear, natural gas, geothermal, hydro, wind and solar facilities.</v>
    <v>15291</v>
    <v>Nasdaq Stock Market</v>
    <v>XNAS</v>
    <v>XNAS</v>
    <v>1310 Point Street, BALTIMORE, MD, 21231 US</v>
    <v>280</v>
    <v>Electrical Utilities &amp; IPPs</v>
    <v>Stock</v>
    <v>46240.999927835153</v>
    <v>169</v>
    <v>260.67500000000001</v>
    <v>93761532200</v>
    <v>CONSTELLATION ENERGY CORPORATION.</v>
    <v>CONSTELLATION ENERGY CORPORATION.</v>
    <v>277.92</v>
    <v>22.683499999999999</v>
    <v>265.12</v>
    <v>261.10000000000002</v>
    <v>359102000</v>
    <v>CEG</v>
    <v>CONSTELLATION ENERGY CORPORATION. (XNAS:CEG)</v>
    <v>1821</v>
    <v>3095239</v>
    <v>2021</v>
  </rv>
  <rv s="2">
    <v>170</v>
  </rv>
  <rv s="0">
    <v>https://www.bing.com/financeapi/forcetrigger?t=a1ssk2&amp;q=ARCX%3aFEZ&amp;form=skydnc</v>
    <v>Learn more on Bing</v>
  </rv>
  <rv s="3">
    <v>en-GB</v>
    <v>a1ssk2</v>
    <v>268435456</v>
    <v>1</v>
    <v>Powered by Refinitiv</v>
    <v>5</v>
    <v>SS SPDR EU SX50 (ARCX:FEZ)</v>
    <v>6</v>
    <v>7</v>
    <v>Finance</v>
    <v>11</v>
    <v>71.63</v>
    <v>58.76</v>
    <v>1.0878000000000001</v>
    <v>0</v>
    <v>0</v>
    <v>USD</v>
    <v>NYSE Arca</v>
    <v>ARCX</v>
    <v>2.8999999999999998E-3</v>
    <v>71.63</v>
    <v>ETF</v>
    <v>46241.000001029686</v>
    <v>172</v>
    <v>71.16</v>
    <v>4401264897.1099997</v>
    <v>SS SPDR EU SX50</v>
    <v>71.41</v>
    <v>71.22</v>
    <v>71.22</v>
    <v>FEZ</v>
    <v>SS SPDR EU SX50 (ARCX:FEZ)</v>
    <v>3</v>
    <v>739877</v>
  </rv>
  <rv s="2">
    <v>173</v>
  </rv>
  <rv s="1">
    <v>en-GB</v>
    <v>a1wljc</v>
    <v>268435456</v>
    <v>1</v>
    <v>Powered by Refinitiv</v>
    <v>0</v>
    <v>THE COCA-COLA COMPANY (XNYS:KO)</v>
    <v>2</v>
    <v>3</v>
    <v>Finance</v>
    <v>4</v>
    <v>90.92</v>
    <v>65.353800000000007</v>
    <v>0.33829999999999999</v>
    <v>0.02</v>
    <v>2.3029999999999999E-4</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87.97</v>
    <v>Beverages</v>
    <v>Stock</v>
    <v>46240.999930010934</v>
    <v>140</v>
    <v>86.42</v>
    <v>373676380650</v>
    <v>THE COCA-COLA COMPANY</v>
    <v>THE COCA-COLA COMPANY</v>
    <v>87.86</v>
    <v>26.164200000000001</v>
    <v>86.83</v>
    <v>86.85</v>
    <v>4302549000</v>
    <v>KO</v>
    <v>THE COCA-COLA COMPANY (XNYS:KO)</v>
    <v>2985</v>
    <v>17721902</v>
    <v>1919</v>
  </rv>
  <rv s="2">
    <v>175</v>
  </rv>
  <rv s="0">
    <v>https://www.bing.com/financeapi/forcetrigger?t=a1xfoc&amp;q=XNAS%3aMDLZ&amp;form=skydnc</v>
    <v>Learn more on Bing</v>
  </rv>
  <rv s="1">
    <v>en-GB</v>
    <v>a1xfoc</v>
    <v>268435456</v>
    <v>1</v>
    <v>Powered by Refinitiv</v>
    <v>0</v>
    <v>Mondelez International, Inc. (XNAS:MDLZ)</v>
    <v>2</v>
    <v>3</v>
    <v>Finance</v>
    <v>4</v>
    <v>66.650000000000006</v>
    <v>51.200800000000001</v>
    <v>0.40339999999999998</v>
    <v>0.15</v>
    <v>2.3960000000000001E-3</v>
    <v>USD</v>
    <v>Mondelez International, Inc. is a snack company. The Company’s core business is making and selling chocolate, biscuits and baked snacks. The Company also has additional businesses in adjacent, locally relevant categories including gum and candy, cheese and grocery and powdered beverages. Its portfolio includes global and local brands such as Oreo, Ritz, LU, Clif Bar and Tate’s Bake Shop biscuits and baked snacks, as well as Cadbury Dairy Milk, Milka and Toblerone chocolate. The Company’s segments include Latin America, AMEA, Europe and North America. It sells its products in over 150 countries and has operations in approximately 80 countries, including 147 principal manufacturing and processing facilities across 46 countries. It sells its products to supermarket chains, wholesalers, supercenters, club stores, mass merchandisers, distributors, convenience stores, gasoline stations, drug stores, value stores and other retail food outlets.</v>
    <v>91000</v>
    <v>Nasdaq Stock Market</v>
    <v>XNAS</v>
    <v>XNAS</v>
    <v>905 West Fulton Market, Suite 200, CHICAGO, IL, 60607 US</v>
    <v>63.865000000000002</v>
    <v>Food &amp; Tobacco</v>
    <v>Stock</v>
    <v>46240.997075856249</v>
    <v>177</v>
    <v>62.4</v>
    <v>80088327000</v>
    <v>Mondelez International, Inc.</v>
    <v>Mondelez International, Inc.</v>
    <v>63.255000000000003</v>
    <v>23.0168</v>
    <v>62.6</v>
    <v>62.75</v>
    <v>1276308000</v>
    <v>MDLZ</v>
    <v>Mondelez International, Inc. (XNAS:MDLZ)</v>
    <v>134</v>
    <v>9798046</v>
    <v>2000</v>
  </rv>
  <rv s="2">
    <v>178</v>
  </rv>
  <rv s="0">
    <v>https://www.bing.com/financeapi/forcetrigger?t=a1nqkr&amp;q=XNAS%3aARLP&amp;form=skydnc</v>
    <v>Learn more on Bing</v>
  </rv>
  <rv s="13">
    <v>en-US</v>
    <v>a1nqkr</v>
    <v>268435456</v>
    <v>1</v>
    <v>Powered by Refinitiv</v>
    <v>31</v>
    <v>ALLIANCE RESOURCE PARTNERS UNT (XNAS:ARLP)</v>
    <v>6</v>
    <v>32</v>
    <v>Finance</v>
    <v>11</v>
    <v>29.45</v>
    <v>22.200099999999999</v>
    <v>-0.08</v>
    <v>-3.15E-3</v>
    <v>USD</v>
    <v>Nasdaq Stock Market</v>
    <v>XNAS</v>
    <v>25.67</v>
    <v>ETF</v>
    <v>46240.996799814064</v>
    <v>180</v>
    <v>25.31</v>
    <v>ALLIANCE RESOURCE PARTNERS UNT</v>
    <v>25.6</v>
    <v>25.4</v>
    <v>25.32</v>
    <v>ARLP</v>
    <v>ALLIANCE RESOURCE PARTNERS UNT (XNAS:ARLP)</v>
    <v>675990</v>
    <v>289252</v>
  </rv>
  <rv s="2">
    <v>181</v>
  </rv>
  <rv s="0">
    <v>https://www.bing.com/financeapi/forcetrigger?t=a2awf2&amp;q=OTCM%3aBYDDY&amp;form=skydnc</v>
    <v>Learn more on Bing</v>
  </rv>
  <rv s="1">
    <v>en-US</v>
    <v>a2awf2</v>
    <v>268435456</v>
    <v>1</v>
    <v>Powered by Refinitiv</v>
    <v>0</v>
    <v>BYD COMPANY LIMITED (OTCM:BYDDY)</v>
    <v>2</v>
    <v>33</v>
    <v>Finance</v>
    <v>34</v>
    <v>15.19</v>
    <v>9.2100000000000009</v>
    <v>0.5323</v>
    <v>-0.3</v>
    <v>-2.5467E-2</v>
    <v>USD</v>
    <v>BYD Co Ltd is a China-based company mainly engaged in the manufacture and sales of transportation equipment. The Company's main businesses include automobile business mainly based on new energy vehicles, mobile phone components and assembly business, secondary rechargeable batteries and photovoltaic business. The Company's passenger car brands include two major series of products, ‘Dynasty’ and ‘Ocean’. The Company conducts its business in the domestic market and overseas markets.</v>
    <v>869622</v>
    <v>OTC Markets</v>
    <v>OTCM</v>
    <v>OTCM</v>
    <v>3009 BYD Road, Pingshan District, GUANGDONG, 518118 CN</v>
    <v>11.49</v>
    <v>Automobiles &amp; Auto Parts</v>
    <v>Stock</v>
    <v>46240.833332592185</v>
    <v>183</v>
    <v>11.36</v>
    <v>791018700000</v>
    <v>BYD COMPANY LIMITED</v>
    <v>BYD COMPANY LIMITED</v>
    <v>11.45</v>
    <v>0</v>
    <v>11.78</v>
    <v>11.48</v>
    <v>9117197000</v>
    <v>BYDDY</v>
    <v>BYD COMPANY LIMITED (OTCM:BYDDY)</v>
    <v>1018178</v>
    <v>41885540</v>
    <v>1995</v>
  </rv>
  <rv s="2">
    <v>184</v>
  </rv>
  <rv s="0">
    <v>https://www.bing.com/financeapi/forcetrigger?t=c1tfh7&amp;q=OTCM%3aHAGHY&amp;form=skydnc</v>
    <v>Learn more on Bing</v>
  </rv>
  <rv s="1">
    <v>en-US</v>
    <v>c1tfh7</v>
    <v>268435456</v>
    <v>1</v>
    <v>Powered by Refinitiv</v>
    <v>0</v>
    <v>Hensoldt AG (OTCM:HAGHY)</v>
    <v>2</v>
    <v>35</v>
    <v>Finance</v>
    <v>34</v>
    <v>13.74</v>
    <v>7.18</v>
    <v>0.4279</v>
    <v>0.42</v>
    <v>4.2423999999999996E-2</v>
    <v>USD</v>
    <v>Hensoldt AG, former Hensoldt GmbH, is a Germany based manufacturer of search, detection, navigation, guidance, aeronautical and nautical systems and instruments. The Company also directly or indirectly acquires, holds, sells and manages stakes in companies involved in the development, manufacture, operation and sale of electrical engineering systems, optronic products and software solutions for military and non-military purposes.</v>
    <v>9679</v>
    <v>OTC Markets</v>
    <v>OTCM</v>
    <v>OTCM</v>
    <v>Willy-Messerschmitt-Strasse 3, TAUFKIRCHEN, BAYERN, 82024 DE</v>
    <v>10.37</v>
    <v>Aerospace &amp; Defense</v>
    <v>Stock</v>
    <v>46240.83332635391</v>
    <v>186</v>
    <v>10.234999999999999</v>
    <v>10103940000</v>
    <v>Hensoldt AG</v>
    <v>Hensoldt AG</v>
    <v>10.26</v>
    <v>0</v>
    <v>9.9</v>
    <v>10.32</v>
    <v>115500000</v>
    <v>HAGHY</v>
    <v>Hensoldt AG (OTCM:HAGHY)</v>
    <v>140606</v>
    <v>377850</v>
    <v>2020</v>
  </rv>
  <rv s="2">
    <v>187</v>
  </rv>
  <rv s="0">
    <v>https://www.bing.com/financeapi/forcetrigger?t=a1twnm&amp;q=ARCX%3aGLD&amp;form=skydnc</v>
    <v>Learn more on Bing</v>
  </rv>
  <rv s="3">
    <v>en-US</v>
    <v>a1twnm</v>
    <v>268435456</v>
    <v>1</v>
    <v>Powered by Refinitiv</v>
    <v>5</v>
    <v>SPDR Gold (ARCX:GLD)</v>
    <v>6</v>
    <v>7</v>
    <v>Finance</v>
    <v>10</v>
    <v>509.7</v>
    <v>305.19</v>
    <v>0.82869999999999999</v>
    <v>0.03</v>
    <v>7.6990000000000007E-5</v>
    <v>USD</v>
    <v>NYSE Arca</v>
    <v>ARCX</v>
    <v>4.0000000000000001E-3</v>
    <v>392.12</v>
    <v>ETF</v>
    <v>46240.999989108597</v>
    <v>189</v>
    <v>387.27</v>
    <v>130322651014.21001</v>
    <v>SPDR Gold</v>
    <v>389.5</v>
    <v>389.64</v>
    <v>389.67</v>
    <v>GLD</v>
    <v>SPDR Gold (ARCX:GLD)</v>
    <v>105162</v>
    <v>6412293</v>
  </rv>
  <rv s="2">
    <v>190</v>
  </rv>
  <rv s="0">
    <v>https://www.bing.com/financeapi/forcetrigger?t=a1slm7&amp;q=XNAS%3aMETA&amp;form=skydnc</v>
    <v>Learn more on Bing</v>
  </rv>
  <rv s="1">
    <v>en-US</v>
    <v>a1slm7</v>
    <v>268435456</v>
    <v>1</v>
    <v>Powered by Refinitiv</v>
    <v>0</v>
    <v>META PLATFORMS, INC. (XNAS:META)</v>
    <v>2</v>
    <v>3</v>
    <v>Finance</v>
    <v>4</v>
    <v>796.25</v>
    <v>520.26</v>
    <v>1.2462</v>
    <v>1.1299999999999999</v>
    <v>1.9189999999999999E-3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75472</v>
    <v>Nasdaq Stock Market</v>
    <v>XNAS</v>
    <v>XNAS</v>
    <v>1 Meta Way, MENLO PARK, CA, 94025 US</v>
    <v>595.30999999999995</v>
    <v>Software &amp; IT Services</v>
    <v>Stock</v>
    <v>46240.999874120309</v>
    <v>192</v>
    <v>585.995</v>
    <v>1502773789400</v>
    <v>META PLATFORMS, INC.</v>
    <v>META PLATFORMS, INC.</v>
    <v>586.95000000000005</v>
    <v>20.427099999999999</v>
    <v>588.77</v>
    <v>589.9</v>
    <v>2547506000</v>
    <v>META</v>
    <v>META PLATFORMS, INC. (XNAS:META)</v>
    <v>43264</v>
    <v>20251178</v>
    <v>2004</v>
  </rv>
  <rv s="2">
    <v>193</v>
  </rv>
  <rv s="0">
    <v>https://www.bing.com/financeapi/forcetrigger?t=a249r7&amp;q=XNYS%3aTJX&amp;form=skydnc</v>
    <v>Learn more on Bing</v>
  </rv>
  <rv s="1">
    <v>en-US</v>
    <v>a249r7</v>
    <v>268435456</v>
    <v>1</v>
    <v>Powered by Refinitiv</v>
    <v>0</v>
    <v>THE TJX COMPANIES, INC. (XNYS:TJX)</v>
    <v>2</v>
    <v>3</v>
    <v>Finance</v>
    <v>9</v>
    <v>170</v>
    <v>130.88</v>
    <v>0.61419999999999997</v>
    <v>2.14</v>
    <v>1.3382E-2</v>
    <v>USD</v>
    <v>The TJX Companies, Inc. is an off-price apparel and home fashions retailer in the United States (U.S.) and worldwide. The Company's segments include Marmaxx and HomeGoods, both in the U.S., TJX Canada and TJX International, including Europe and Australia. The TJ Maxx and Marshalls chains sell family apparel, including footwear and accessories, home fashions, including home basics, decorative accessories, and giftware and other merchandise. The HomeGoods segment operates HomeGoods and Homesense chains. HomeGoods offers an eclectic assortment of home fashions, including furniture, rugs, lighting, soft home, decorative accessories, tabletop, and cookware, as well as expanded pet and gourmet food departments. The TJX Canada segment operates the Winners, HomeSense and Marshalls chains in Canada, offering a range of home decor, furniture, and seasonal home merchandise. The TJX International segment operates the TK Maxx and Homesense chains in Europe and the TK Maxx chain in Australia.</v>
    <v>377000</v>
    <v>New York Stock Exchange</v>
    <v>XNYS</v>
    <v>XNYS</v>
    <v>770 Cochituate Rd, FRAMINGHAM, MA, 01701 US</v>
    <v>162.11500000000001</v>
    <v>Diversified Retail</v>
    <v>Stock</v>
    <v>46240.988363113283</v>
    <v>195</v>
    <v>159.69</v>
    <v>179028330240</v>
    <v>THE TJX COMPANIES, INC.</v>
    <v>THE TJX COMPANIES, INC.</v>
    <v>161.85</v>
    <v>31.480899999999998</v>
    <v>159.91999999999999</v>
    <v>162.06</v>
    <v>1104704000</v>
    <v>TJX</v>
    <v>THE TJX COMPANIES, INC. (XNYS:TJX)</v>
    <v>33</v>
    <v>5045042</v>
    <v>1962</v>
  </rv>
  <rv s="2">
    <v>196</v>
  </rv>
  <rv s="0">
    <v>https://www.bing.com/financeapi/forcetrigger?t=bptw77&amp;q=XNYS%3aUBER&amp;form=skydnc</v>
    <v>Learn more on Bing</v>
  </rv>
  <rv s="1">
    <v>en-US</v>
    <v>bptw77</v>
    <v>268435456</v>
    <v>1</v>
    <v>Powered by Refinitiv</v>
    <v>0</v>
    <v>UBER TECHNOLOGIES, INC. (XNYS:UBER)</v>
    <v>2</v>
    <v>3</v>
    <v>Finance</v>
    <v>4</v>
    <v>101.99</v>
    <v>65.41</v>
    <v>1.1411</v>
    <v>2.29</v>
    <v>3.3588E-2</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34000</v>
    <v>New York Stock Exchange</v>
    <v>XNYS</v>
    <v>XNYS</v>
    <v>1725 3Rd Street, SAN FRANCISCO, CA, 94158 US</v>
    <v>71.37</v>
    <v>Software &amp; IT Services</v>
    <v>Stock</v>
    <v>46240.999474860939</v>
    <v>198</v>
    <v>68.17</v>
    <v>143448661530</v>
    <v>UBER TECHNOLOGIES, INC.</v>
    <v>UBER TECHNOLOGIES, INC.</v>
    <v>68.63</v>
    <v>15.4687</v>
    <v>68.180000000000007</v>
    <v>70.47</v>
    <v>2035599000</v>
    <v>UBER</v>
    <v>UBER TECHNOLOGIES, INC. (XNYS:UBER)</v>
    <v>21955</v>
    <v>17324169</v>
    <v>2010</v>
  </rv>
  <rv s="2">
    <v>199</v>
  </rv>
  <rv s="0">
    <v>https://www.bing.com/financeapi/forcetrigger?t=a25l52&amp;q=XNYS%3aVST&amp;form=skydnc</v>
    <v>Learn more on Bing</v>
  </rv>
  <rv s="1">
    <v>en-US</v>
    <v>a25l52</v>
    <v>268435456</v>
    <v>1</v>
    <v>Powered by Refinitiv</v>
    <v>0</v>
    <v>VISTRA CORP. (XNYS:VST)</v>
    <v>2</v>
    <v>3</v>
    <v>Finance</v>
    <v>4</v>
    <v>219.82</v>
    <v>132.66</v>
    <v>1.4107000000000001</v>
    <v>0.8</v>
    <v>5.6910000000000007E-3</v>
    <v>USD</v>
    <v>Vistra Corp. is an integrated retail electricity and power generation company that provides essential resources to customers, businesses, and communities from California to Maine. The Company operates a power generation fleet of natural gas, nuclear, coal, solar, and battery energy storage facilities. Its segments include Retail, Texas, East, West, and Asset Closure. The Retail segment is engaged in retail sales of electricity and natural gas to residential, commercial and industrial customers. The Texas and East segments are engaged in electricity generation, wholesale energy sales and purchases, commodity risk management activities, fuel procurement, and logistics management. The West segment represents results from the CAISO market, including its battery ESS projects at its Moss Landing power plant site. The Asset Closure segment is engaged in the decommissioning and reclamation of retired generation facilities, including mines, and battery removal and remediation activities.</v>
    <v>6390</v>
    <v>New York Stock Exchange</v>
    <v>XNYS</v>
    <v>XNYS</v>
    <v>6555 Sierra Drive, IRVING, TX, 75039 US</v>
    <v>143.02269999999999</v>
    <v>Electrical Utilities &amp; IPPs</v>
    <v>Stock</v>
    <v>46240.9999990625</v>
    <v>201</v>
    <v>140.13999999999999</v>
    <v>47670861850</v>
    <v>VISTRA CORP.</v>
    <v>VISTRA CORP.</v>
    <v>142</v>
    <v>23.684899999999999</v>
    <v>140.58000000000001</v>
    <v>141.38</v>
    <v>337182500</v>
    <v>VST</v>
    <v>VISTRA CORP. (XNYS:VST)</v>
    <v>31578</v>
    <v>4489987</v>
    <v>2016</v>
  </rv>
  <rv s="2">
    <v>202</v>
  </rv>
  <rv s="0">
    <v>https://www.bing.com/financeapi/forcetrigger?t=a1mou2&amp;q=XNAS%3aAAPL&amp;form=skydnc</v>
    <v>Learn more on Bing</v>
  </rv>
  <rv s="1">
    <v>en-US</v>
    <v>a1mou2</v>
    <v>268435456</v>
    <v>1</v>
    <v>Powered by Refinitiv</v>
    <v>0</v>
    <v>APPLE INC. (XNAS:AAPL)</v>
    <v>2</v>
    <v>3</v>
    <v>Finance</v>
    <v>4</v>
    <v>344.56990000000002</v>
    <v>216.58</v>
    <v>1.081</v>
    <v>1.41</v>
    <v>4.5339999999999998E-3</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316.2894</v>
    <v>Computers, Phones &amp; Household Electronics</v>
    <v>Stock</v>
    <v>46240.999984339847</v>
    <v>204</v>
    <v>309.23</v>
    <v>4559367773800</v>
    <v>APPLE INC.</v>
    <v>APPLE INC.</v>
    <v>314.33999999999997</v>
    <v>35.948099999999997</v>
    <v>311</v>
    <v>312.41000000000003</v>
    <v>14594180000</v>
    <v>AAPL</v>
    <v>APPLE INC. (XNAS:AAPL)</v>
    <v>61420</v>
    <v>55656037</v>
    <v>1977</v>
  </rv>
  <rv s="2">
    <v>205</v>
  </rv>
  <rv s="0">
    <v>http://en.wikipedia.org/wiki/Roku,_Inc.</v>
    <v>Wikipedia</v>
  </rv>
  <rv s="7">
    <v>120</v>
    <v>207</v>
  </rv>
  <rv s="8">
    <v>26</v>
    <v>https://www.bing.com/th?id=AMMS_13240dc8e8eb91fe0ba2ee2ae9b85354&amp;qlt=95</v>
    <v>208</v>
    <v>0</v>
    <v>https://www.bing.com/images/search?form=xlimg&amp;q=roku+cnnmoney</v>
    <v>Image of ROKU, INC.</v>
  </rv>
  <rv s="0">
    <v>https://www.bing.com/financeapi/forcetrigger?t=a226p2&amp;q=XNAS%3aROKU&amp;form=skydnc</v>
    <v>Learn more on Bing</v>
  </rv>
  <rv s="9">
    <v>en-US</v>
    <v>a226p2</v>
    <v>268435456</v>
    <v>1</v>
    <v>Powered by Refinitiv</v>
    <v>22</v>
    <v>ROKU, INC. (XNAS:ROKU)</v>
    <v>24</v>
    <v>25</v>
    <v>Finance</v>
    <v>9</v>
    <v>150.61000000000001</v>
    <v>78.53</v>
    <v>2.0381999999999998</v>
    <v>3.11</v>
    <v>2.1162E-2</v>
    <v>USD</v>
    <v>Roku, Inc. is a TV streaming platform in the United States, Canada, and Mexico. The Company connects viewers to the content they love, enables content publishers to build and monetize audiences through advertising and subscriptions, and provides advertisers with capabilities to reach and engage consumers. The Company's segments include Advertising, Subscriptions, and Devices. The Company's Advertising segment includes the sale of digital advertising, including direct and programmatic video advertising, ads integrated into its user interface (UI), and related services. The Company's Subscriptions segment includes the sale of subscriptions to end users. The Company's Devices segment includes the sale of streaming players, Roku-made TVs, smart home products and services, audio products, and related accessories. The Company also owns and operates The Roku Channel, the home of premium and free entertainment; Howdy, a low-cost subscription service; and Frndly TV, a live TV streaming service.</v>
    <v>3600</v>
    <v>Nasdaq Stock Market</v>
    <v>XNAS</v>
    <v>XNAS</v>
    <v>1173 Coleman Avenue, SAN JOSE, CA, 95110 US</v>
    <v>150.61000000000001</v>
    <v>209</v>
    <v>Media &amp; Publishing</v>
    <v>Stock</v>
    <v>46240.999733124998</v>
    <v>210</v>
    <v>148</v>
    <v>22261713954</v>
    <v>ROKU, INC.</v>
    <v>ROKU, INC.</v>
    <v>148.32</v>
    <v>112.8575</v>
    <v>146.96</v>
    <v>150.07</v>
    <v>148342200</v>
    <v>ROKU</v>
    <v>ROKU, INC. (XNAS:ROKU)</v>
    <v>893</v>
    <v>2967440</v>
    <v>2002</v>
  </rv>
  <rv s="2">
    <v>211</v>
  </rv>
  <rv s="0">
    <v>https://www.bing.com/financeapi/forcetrigger?t=a1o4mw&amp;q=XNYS%3aBABA&amp;form=skydnc</v>
    <v>Learn more on Bing</v>
  </rv>
  <rv s="1">
    <v>en-US</v>
    <v>a1o4mw</v>
    <v>268435456</v>
    <v>1</v>
    <v>Powered by Refinitiv</v>
    <v>0</v>
    <v>Alibaba Group Holding Limited (XNYS:BABA)</v>
    <v>2</v>
    <v>3</v>
    <v>Finance</v>
    <v>4</v>
    <v>192.67</v>
    <v>91.99</v>
    <v>0.52039999999999997</v>
    <v>-1.72</v>
    <v>-1.3382E-2</v>
    <v>USD</v>
    <v>Alibaba Group Holding Ltd is an investment holding company mainly engaged in the provision of technology infrastructure and marketing platforms. The Company operates its business through four segments. The Alibaba China E-commerce Group segment is mainly engaged in E-commerce business, including operating Tmall Supermarket and Tmall Global, providing customer management services, product sales, as well as logistics services. It also operates quick commerce business such as Taobao Instant Commerce and Ele.me, as well as the China commerce wholesale business through 1688.com. The Alibaba International Digital Commerce Group segment is mainly engaged in international commerce retail and wholesale business, operating platforms such as AliExpress, Trendyol, Lazada and Alibaba.com. The Cloud Intelligence Group segment mainly provides public and non-public cloud services. The Other segments primarily include the operations of Freshippo, Cainiao, Alibaba Health and other business.</v>
    <v>131462</v>
    <v>New York Stock Exchange</v>
    <v>XNYS</v>
    <v>XNYS</v>
    <v>26/F, Tower One, Times Square, 1 Matheson Street, Causeway Bay HK</v>
    <v>127.21</v>
    <v>Software &amp; IT Services</v>
    <v>Stock</v>
    <v>46240.999998425781</v>
    <v>213</v>
    <v>125.56</v>
    <v>303971812650</v>
    <v>Alibaba Group Holding Limited</v>
    <v>Alibaba Group Holding Limited</v>
    <v>126.78</v>
    <v>19.839099999999998</v>
    <v>128.53</v>
    <v>126.81</v>
    <v>2397065000</v>
    <v>BABA</v>
    <v>Alibaba Group Holding Limited (XNYS:BABA)</v>
    <v>72990</v>
    <v>12086303</v>
    <v>1999</v>
  </rv>
  <rv s="2">
    <v>214</v>
  </rv>
  <rv s="0">
    <v>https://www.bing.com/financeapi/forcetrigger?t=bvg8m7&amp;q=XNYS%3aXPEV&amp;form=skydnc</v>
    <v>Learn more on Bing</v>
  </rv>
  <rv s="14">
    <v>en-US</v>
    <v>bvg8m7</v>
    <v>268435456</v>
    <v>1</v>
    <v>Powered by Refinitiv</v>
    <v>36</v>
    <v>XPENG INC. (XNYS:XPEV)</v>
    <v>2</v>
    <v>37</v>
    <v>Finance</v>
    <v>4</v>
    <v>28.234999999999999</v>
    <v>11.54</v>
    <v>1.0992999999999999</v>
    <v>-7.0000000000000007E-2</v>
    <v>-5.9570000000000005E-3</v>
    <v>USD</v>
    <v>XPeng Inc is a holding company mainly engaged in the design, development, manufacturing and marketing of smart electrical vehicles (EVs). The Company develops full-stack advanced driver assistance systems (ADAS) software in house and has deployed such software on mass-produced vehicles. The Company offers various models, including G9 (mid- to large-sized sport utility vehicle (SUV), P7i (sports sedan), G6 (coupe SUV), X9 (seven-seater multi-purpose vehicle (MPV)), MONA M03 (sedan) and P7+ (family sedan). The Company operates stores across China, including both stores directly operated by the Company and franchised stores. The Company also offers technical research and development services, services embedded in a sales contract, maintenance service, supercharging service.</v>
    <v>19884</v>
    <v>New York Stock Exchange</v>
    <v>XNYS</v>
    <v>XNYS</v>
    <v>No.10, Cencun Fengzhuang Avenue, Tianhe District, GUANGZHOU, GUANGDONG CN</v>
    <v>11.76</v>
    <v>Automobiles &amp; Auto Parts</v>
    <v>Stock</v>
    <v>46240.99748717578</v>
    <v>216</v>
    <v>11.54</v>
    <v>11190259936</v>
    <v>XPENG INC.</v>
    <v>XPENG INC.</v>
    <v>11.71</v>
    <v>11.75</v>
    <v>11.68</v>
    <v>958070200</v>
    <v>XPEV</v>
    <v>XPENG INC. (XNYS:XPEV)</v>
    <v>160843</v>
    <v>6890762</v>
    <v>2018</v>
  </rv>
  <rv s="2">
    <v>217</v>
  </rv>
  <rv s="0">
    <v>https://www.bing.com/financeapi/forcetrigger?t=a1yuvh&amp;q=XNAS%3aNVAX&amp;form=skydnc</v>
    <v>Learn more on Bing</v>
  </rv>
  <rv s="1">
    <v>en-US</v>
    <v>a1yuvh</v>
    <v>268435456</v>
    <v>1</v>
    <v>Powered by Refinitiv</v>
    <v>0</v>
    <v>NOVAVAX, INC. (XNAS:NVAX)</v>
    <v>2</v>
    <v>3</v>
    <v>Finance</v>
    <v>4</v>
    <v>11.97</v>
    <v>6.2</v>
    <v>2.4188000000000001</v>
    <v>0.04</v>
    <v>5.195E-3</v>
    <v>USD</v>
    <v>Novavax, Inc. is a biotechnology company. It is focused on addressing global health challenges through its vaccines and its proven technology platform, including protein-based nanoparticles and its Matrix-M adjuvant. Matrix-M can be used to create vaccines for a variety of diseases to help tackle some of the pressing health challenges. Its proprietary Matrix-M adjuvant, when added to vaccines, has been shown to help induce a stronger and longer-lasting immune response. Its recombinant protein-based nanoparticle technology has been shown to be highly immunogenetic. Its technology platform is used in its authorized COVID-19 vaccine and the R21/Matrix-M adjuvant malaria vaccine. Its late-stage programs include a COVID-19-Influenzavaccine candidate, and an influenza vaccine candidate. R21/Matrix-M adjuvant malaria vaccine, a malaria vaccine developed by its partner. It provides Matrix-M adjuvant for use in various programs in preclinical and clinical stage, and preclinical investigations.</v>
    <v>749</v>
    <v>Nasdaq Stock Market</v>
    <v>XNAS</v>
    <v>XNAS</v>
    <v>21 Firstfield Rd, GAITHERSBURG, MD, 20878 US</v>
    <v>7.9080000000000004</v>
    <v>Biotechnology &amp; Medical Research</v>
    <v>Stock</v>
    <v>46240.999689339842</v>
    <v>219</v>
    <v>7.532</v>
    <v>1272750894</v>
    <v>NOVAVAX, INC.</v>
    <v>NOVAVAX, INC.</v>
    <v>7.8250000000000002</v>
    <v>0</v>
    <v>7.7</v>
    <v>7.74</v>
    <v>164438100</v>
    <v>NVAX</v>
    <v>NOVAVAX, INC. (XNAS:NVAX)</v>
    <v>3027</v>
    <v>3257529</v>
    <v>1987</v>
  </rv>
  <rv s="2">
    <v>220</v>
  </rv>
  <rv s="0">
    <v>https://www.bing.com/financeapi/forcetrigger?t=a1wovh&amp;q=XNAS%3aKTOS&amp;form=skydnc</v>
    <v>Learn more on Bing</v>
  </rv>
  <rv s="1">
    <v>en-US</v>
    <v>a1wovh</v>
    <v>268435456</v>
    <v>1</v>
    <v>Powered by Refinitiv</v>
    <v>0</v>
    <v>KRATOS DEFENSE &amp; SECURITY SOLUTIONS, INC. (XNAS:KTOS)</v>
    <v>2</v>
    <v>3</v>
    <v>Finance</v>
    <v>4</v>
    <v>134</v>
    <v>43.09</v>
    <v>1.1301000000000001</v>
    <v>2.0699999999999998</v>
    <v>3.7405000000000001E-2</v>
    <v>USD</v>
    <v>Kratos Defense &amp; Security Solutions, Inc. is a technology, products, system and software company addressing the defense, national security, and commercial markets. It operates through two segments: Kratos Government Solutions (KGS) and Unmanned Systems (US). The KGS segment includes its microwave electronic products, space, satellite and cyber, training solutions, command, control, communication, computing, combat, intelligence surveillance and reconnaissance (C5ISR)/modular systems, turbine technologies, and defense and rocket support services operating segments. The US segment consists of its unmanned aerial, unmanned ground, unmanned seaborne and related command, control and communications system businesses. Its KGS and US segments provide products, solutions and services for mission-critical National Security programs. KGS and US customers primarily include National Security-related agencies, the DoD, intelligence agencies and classified agencies, and others.</v>
    <v>4300</v>
    <v>Nasdaq Stock Market</v>
    <v>XNAS</v>
    <v>XNAS</v>
    <v>1 Chisholm Trail, ROUND ROCK, TX, 92131 US</v>
    <v>59.094999999999999</v>
    <v>Aerospace &amp; Defense</v>
    <v>Stock</v>
    <v>46240.999846122657</v>
    <v>222</v>
    <v>54.04</v>
    <v>10777079833</v>
    <v>KRATOS DEFENSE &amp; SECURITY SOLUTIONS, INC.</v>
    <v>KRATOS DEFENSE &amp; SECURITY SOLUTIONS, INC.</v>
    <v>54.41</v>
    <v>330.45530000000002</v>
    <v>55.34</v>
    <v>57.41</v>
    <v>187721300</v>
    <v>KTOS</v>
    <v>KRATOS DEFENSE &amp; SECURITY SOLUTIONS, INC. (XNAS:KTOS)</v>
    <v>7479</v>
    <v>4134372</v>
    <v>1997</v>
  </rv>
  <rv s="2">
    <v>223</v>
  </rv>
  <rv s="0">
    <v>https://www.bing.com/financeapi/forcetrigger?t=a1sf9c&amp;q=ARCX%3aEWG&amp;form=skydnc</v>
    <v>Learn more on Bing</v>
  </rv>
  <rv s="3">
    <v>en-US</v>
    <v>a1sf9c</v>
    <v>268435456</v>
    <v>1</v>
    <v>Powered by Refinitiv</v>
    <v>5</v>
    <v>iShares:MSCI Germany (ARCX:EWG)</v>
    <v>6</v>
    <v>7</v>
    <v>Finance</v>
    <v>11</v>
    <v>44.65</v>
    <v>37.975000000000001</v>
    <v>1.0827</v>
    <v>0</v>
    <v>0</v>
    <v>USD</v>
    <v>NYSE Arca</v>
    <v>ARCX</v>
    <v>4.8999999999999998E-3</v>
    <v>43.64</v>
    <v>ETF</v>
    <v>46241.000001839842</v>
    <v>225</v>
    <v>43.46</v>
    <v>1645813023.22</v>
    <v>iShares:MSCI Germany</v>
    <v>43.46</v>
    <v>43.52</v>
    <v>43.52</v>
    <v>EWG</v>
    <v>iShares:MSCI Germany (ARCX:EWG)</v>
    <v>564024</v>
    <v>1136698</v>
  </rv>
  <rv s="2">
    <v>226</v>
  </rv>
  <rv s="0">
    <v>https://www.bing.com/financeapi/forcetrigger?t=bpla5r&amp;q=XNAS%3aPLMR&amp;form=skydnc</v>
    <v>Learn more on Bing</v>
  </rv>
  <rv s="1">
    <v>en-US</v>
    <v>bpla5r</v>
    <v>268435456</v>
    <v>1</v>
    <v>Powered by Refinitiv</v>
    <v>0</v>
    <v>PALOMAR HOLDINGS, INC. (XNAS:PLMR)</v>
    <v>2</v>
    <v>3</v>
    <v>Finance</v>
    <v>9</v>
    <v>147.62</v>
    <v>100.81010000000001</v>
    <v>0.38200000000000001</v>
    <v>2.82</v>
    <v>2.1044999999999998E-2</v>
    <v>USD</v>
    <v>Palomar Holdings, Inc. is an insurance holding company. The Company provides property and casualty insurance products to individuals and businesses. It serves residential and commercial clients in five product categories: Earthquake, Inland Marine and Other Property, Casualty, Fronting, and Crop. It distributes its products through multiple channels, including retail agents, program administrators, wholesale brokers, and partnerships with other insurance companies. It offers residential and commercial earthquake products on an admitted and excess and surplus lines (E&amp;S) basis. Its residential earthquake products insure against home damage, contents, appurtenant structures, and temporary housing costs following an earthquake. Its commercial earthquake products focus on providing coverage for benign commercial risks. Its Inland Marine and Other Property products include Inland Marine, Hawaii Hurricane, Commercial All Risk, Excess National Property, Residential Flood, and others.</v>
    <v>439</v>
    <v>Nasdaq Stock Market</v>
    <v>XNAS</v>
    <v>XNAS</v>
    <v>7979 Ivanhoe Ave Ste 500, LA JOLLA, CA, 92037-4513 US</v>
    <v>139.06</v>
    <v>Insurance</v>
    <v>Stock</v>
    <v>46240.981983078127</v>
    <v>228</v>
    <v>133.6</v>
    <v>3626259493</v>
    <v>PALOMAR HOLDINGS, INC.</v>
    <v>PALOMAR HOLDINGS, INC.</v>
    <v>136.16999999999999</v>
    <v>19.045400000000001</v>
    <v>134</v>
    <v>136.82</v>
    <v>26503870</v>
    <v>PLMR</v>
    <v>PALOMAR HOLDINGS, INC. (XNAS:PLMR)</v>
    <v>544703</v>
    <v>305681</v>
    <v>2019</v>
  </rv>
  <rv s="2">
    <v>229</v>
  </rv>
  <rv s="0">
    <v>https://www.bing.com/financeapi/forcetrigger?t=a1xygh&amp;q=XNAS%3aMRVL&amp;form=skydnc</v>
    <v>Learn more on Bing</v>
  </rv>
  <rv s="1">
    <v>en-US</v>
    <v>a1xygh</v>
    <v>268435456</v>
    <v>1</v>
    <v>Powered by Refinitiv</v>
    <v>0</v>
    <v>MARVELL TECHNOLOGY, INC. (XNAS:MRVL)</v>
    <v>2</v>
    <v>3</v>
    <v>Finance</v>
    <v>4</v>
    <v>329.88</v>
    <v>61.44</v>
    <v>2.2528999999999999</v>
    <v>-0.48</v>
    <v>-2.2750000000000001E-3</v>
    <v>USD</v>
    <v>Marvell Technology, Inc. together with its consolidated subsidiaries, is a supplier of data infrastructure semiconductor solutions, spanning the data center core to network edge. It is engaged in the design, development and sale of integrated circuits. Its product offerings include custom application-specific integrated circuits (ASICs), interconnects, ethernet solutions, fiber channel adapters, processors and storage controllers. In addition, it is also developing Ultra Accelerator LinkTM (UALinkTM) switches and ethernet for scale-up networking (ESUN) switches for the emerging scale-out artificial intelligence market. Its solutions integrate multiple analogs, mixed-signal and digital intellectual property components incorporating hardware, firmware and software technologies and its system knowledge to provide its customers with integrated solutions for their end products. It designs and manufactures photonic integrated circuits for ultra-high-bandwidth and low-power applications.</v>
    <v>7480</v>
    <v>Nasdaq Stock Market</v>
    <v>XNAS</v>
    <v>XNAS</v>
    <v>1000 N. West Street, Suite 1200, WILMINGTON, DE, 19801 US</v>
    <v>219.46250000000001</v>
    <v>Semiconductors &amp; Semiconductor Equipment</v>
    <v>Stock</v>
    <v>46240.999980589841</v>
    <v>231</v>
    <v>201.74</v>
    <v>184383857856</v>
    <v>MARVELL TECHNOLOGY, INC.</v>
    <v>MARVELL TECHNOLOGY, INC.</v>
    <v>205.565</v>
    <v>72.1143</v>
    <v>211.02</v>
    <v>210.54</v>
    <v>875766400</v>
    <v>MRVL</v>
    <v>MARVELL TECHNOLOGY, INC. (XNAS:MRVL)</v>
    <v>154401</v>
    <v>25569110</v>
    <v>2020</v>
  </rv>
  <rv s="2">
    <v>232</v>
  </rv>
  <rv s="0">
    <v>https://www.bing.com/financeapi/forcetrigger?t=alnz5r&amp;q=XAMS%3aASML&amp;form=skydnc</v>
    <v>Learn more on Bing</v>
  </rv>
  <rv s="1">
    <v>en-US</v>
    <v>alnz5r</v>
    <v>268435456</v>
    <v>1</v>
    <v>Powered by Refinitiv</v>
    <v>0</v>
    <v>ASML Holding NV (XAMS:ASML)</v>
    <v>2</v>
    <v>38</v>
    <v>Finance</v>
    <v>34</v>
    <v>1741</v>
    <v>587.79999999999995</v>
    <v>2.1983999999999999</v>
    <v>1.4</v>
    <v>9.3710000000000006E-4</v>
    <v>EUR</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44500</v>
    <v>Euronext Amsterdam</v>
    <v>XAMS</v>
    <v>XAMS</v>
    <v>De Run 6501, VELDHOVEN, NOORD-BRABANT, 5504 DR NL</v>
    <v>1499.6</v>
    <v>Semiconductors &amp; Semiconductor Equipment</v>
    <v>Stock</v>
    <v>46241.336365740739</v>
    <v>234</v>
    <v>1482</v>
    <v>568946900000</v>
    <v>ASML Holding NV</v>
    <v>ASML Holding NV</v>
    <v>1483</v>
    <v>55.392200000000003</v>
    <v>1494</v>
    <v>1495.4</v>
    <v>388147700</v>
    <v>ASML</v>
    <v>ASML Holding NV (XAMS:ASML)</v>
    <v>47253</v>
    <v>728090</v>
    <v>1994</v>
  </rv>
  <rv s="2">
    <v>235</v>
  </rv>
  <rv s="0">
    <v>https://www.bing.com/financeapi/forcetrigger?t=a1nhlh&amp;q=XNAS%3aAMZN&amp;form=skydnc</v>
    <v>Learn more on Bing</v>
  </rv>
  <rv s="1">
    <v>en-US</v>
    <v>a1nhlh</v>
    <v>268435456</v>
    <v>1</v>
    <v>Powered by Refinitiv</v>
    <v>0</v>
    <v>AMAZON.COM, INC. (XNAS:AMZN)</v>
    <v>2</v>
    <v>3</v>
    <v>Finance</v>
    <v>4</v>
    <v>287.2</v>
    <v>196</v>
    <v>1.4470000000000001</v>
    <v>-0.39</v>
    <v>-1.4299999999999998E-3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1595000</v>
    <v>Nasdaq Stock Market</v>
    <v>XNAS</v>
    <v>XNAS</v>
    <v>410 Terry Avenue North, SEATTLE, WA, 98109 US</v>
    <v>275.48</v>
    <v>Diversified Retail</v>
    <v>Stock</v>
    <v>46240.999991376564</v>
    <v>237</v>
    <v>271.06099999999998</v>
    <v>2936680760600</v>
    <v>AMAZON.COM, INC.</v>
    <v>AMAZON.COM, INC.</v>
    <v>272.76499999999999</v>
    <v>21.898800000000001</v>
    <v>272.64999999999998</v>
    <v>272.26</v>
    <v>10786310000</v>
    <v>AMZN</v>
    <v>AMAZON.COM, INC. (XNAS:AMZN)</v>
    <v>57346</v>
    <v>48754256</v>
    <v>1996</v>
  </rv>
  <rv s="2">
    <v>238</v>
  </rv>
  <rv s="0">
    <v>https://www.bing.com/financeapi/forcetrigger?t=a1ndww&amp;q=XNAS%3aAMD&amp;form=skydnc</v>
    <v>Learn more on Bing</v>
  </rv>
  <rv s="1">
    <v>en-US</v>
    <v>a1ndww</v>
    <v>268435456</v>
    <v>1</v>
    <v>Powered by Refinitiv</v>
    <v>0</v>
    <v>ADVANCED MICRO DEVICES, INC. (XNAS:AMD)</v>
    <v>2</v>
    <v>3</v>
    <v>Finance</v>
    <v>4</v>
    <v>584.73</v>
    <v>149.22</v>
    <v>2.4744000000000002</v>
    <v>7.23</v>
    <v>1.4998000000000001E-2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496.72</v>
    <v>Semiconductors &amp; Semiconductor Equipment</v>
    <v>Stock</v>
    <v>46240.99997225625</v>
    <v>240</v>
    <v>469.5</v>
    <v>797820457280</v>
    <v>ADVANCED MICRO DEVICES, INC.</v>
    <v>ADVANCED MICRO DEVICES, INC.</v>
    <v>471.75</v>
    <v>124.8762</v>
    <v>482.05</v>
    <v>489.28</v>
    <v>1630601000</v>
    <v>AMD</v>
    <v>ADVANCED MICRO DEVICES, INC. (XNAS:AMD)</v>
    <v>63469</v>
    <v>29482718</v>
    <v>1969</v>
  </rv>
  <rv s="2">
    <v>241</v>
  </rv>
  <rv s="0">
    <v>https://www.bing.com/financeapi/forcetrigger?t=a1u3rw&amp;q=XNAS%3aGOOGL&amp;form=skydnc</v>
    <v>Learn more on Bing</v>
  </rv>
  <rv s="1">
    <v>en-US</v>
    <v>a1u3rw</v>
    <v>268435456</v>
    <v>1</v>
    <v>Powered by Refinitiv</v>
    <v>0</v>
    <v>ALPHABET INC. (XNAS:GOOGL)</v>
    <v>2</v>
    <v>3</v>
    <v>Finance</v>
    <v>4</v>
    <v>408.61</v>
    <v>194.33</v>
    <v>1.2313000000000001</v>
    <v>-4.68</v>
    <v>-1.2912999999999999E-2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364.1259</v>
    <v>Software &amp; IT Services</v>
    <v>Stock</v>
    <v>46240.999959375004</v>
    <v>243</v>
    <v>356.88</v>
    <v>4375282500000</v>
    <v>ALPHABET INC.</v>
    <v>ALPHABET INC.</v>
    <v>360.77</v>
    <v>17.950299999999999</v>
    <v>362.43</v>
    <v>357.75</v>
    <v>12230000000</v>
    <v>GOOGL</v>
    <v>ALPHABET INC. (XNAS:GOOGL)</v>
    <v>75764</v>
    <v>30974014</v>
    <v>2015</v>
  </rv>
  <rv s="2">
    <v>244</v>
  </rv>
  <rv s="0">
    <v>https://www.bing.com/financeapi/forcetrigger?t=brg5u2&amp;q=XNYS%3aHIMS&amp;form=skydnc</v>
    <v>Learn more on Bing</v>
  </rv>
  <rv s="1">
    <v>en-US</v>
    <v>brg5u2</v>
    <v>268435456</v>
    <v>1</v>
    <v>Powered by Refinitiv</v>
    <v>0</v>
    <v>HIMS &amp; HERS HEALTH, INC. (XNYS:HIMS)</v>
    <v>2</v>
    <v>3</v>
    <v>Finance</v>
    <v>4</v>
    <v>65.299400000000006</v>
    <v>13.74</v>
    <v>2.4207000000000001</v>
    <v>-1.99</v>
    <v>-6.2875E-2</v>
    <v>USD</v>
    <v>Hims &amp; Hers Health, Inc. operates as a consumer-first platform, which helps customers to fulfill their health and wellness needs. Its platform includes access to a provider network, a clinically focused electronic medical record system, digital prescriptions, cloud-enabled pharmacy fulfillment, and personalization capabilities. Its digital platform enables access to treatments for a range of conditions, including primarily those related to sexual health, hair loss, hormone health, weight loss, dermatology, and mental health, as well as services such as comprehensive laboratory testing. It connects patients to licensed healthcare professionals who can prescribe medications when appropriate and prescriptions are fulfilled online through licensed pharmacies. It also offers access to a range of health and wellness products designed to meet individual needs, which can include curated prescription and non-prescription products.</v>
    <v>2442</v>
    <v>New York Stock Exchange</v>
    <v>XNYS</v>
    <v>XNYS</v>
    <v>2269 Chestnut St, #523, SAN FRANCISCO, CA, 94123 US</v>
    <v>31.26</v>
    <v>Healthcare Providers &amp; Services</v>
    <v>Stock</v>
    <v>46240.999740277344</v>
    <v>246</v>
    <v>29.53</v>
    <v>6865035382</v>
    <v>HIMS &amp; HERS HEALTH, INC.</v>
    <v>HIMS &amp; HERS HEALTH, INC.</v>
    <v>31.11</v>
    <v>0</v>
    <v>31.65</v>
    <v>29.66</v>
    <v>231457700</v>
    <v>HIMS</v>
    <v>HIMS &amp; HERS HEALTH, INC. (XNYS:HIMS)</v>
    <v>6071</v>
    <v>14856795</v>
    <v>2021</v>
  </rv>
  <rv s="2">
    <v>247</v>
  </rv>
  <rv s="15">
    <v>en-US</v>
    <v>c8qkhw</v>
    <v>268435456</v>
    <v>1</v>
    <v>Powered by Refinitiv</v>
    <v>39</v>
    <v>Tidal:Subversive Cong DT (BATS:NANC)</v>
    <v>40</v>
    <v>7</v>
    <v>Finance</v>
    <v>8</v>
    <v>52.37</v>
    <v>40.785200000000003</v>
    <v>1.1335999999999999</v>
    <v>0.02</v>
    <v>3.8719999999999998E-4</v>
    <v>USD</v>
    <v>CBOE BZX Exchange</v>
    <v>BATS</v>
    <v>7.1999999999999998E-3</v>
    <v>51.78</v>
    <v>ETF</v>
    <v>46240.982060138282</v>
    <v>51.553899999999999</v>
    <v>277912418.89999998</v>
    <v>Tidal:Subversive Cong DT</v>
    <v>51.57</v>
    <v>51.65</v>
    <v>51.67</v>
    <v>NANC</v>
    <v>Tidal:Subversive Cong DT (BATS:NANC)</v>
    <v>5</v>
    <v>16288</v>
  </rv>
  <rv s="2">
    <v>249</v>
  </rv>
  <rv s="0">
    <v>https://www.bing.com/financeapi/forcetrigger?t=bvsk7w&amp;q=XNYS%3aPLTR&amp;form=skydnc</v>
    <v>Learn more on Bing</v>
  </rv>
  <rv s="1">
    <v>en-US</v>
    <v>bvsk7w</v>
    <v>268435456</v>
    <v>1</v>
    <v>Powered by Refinitiv</v>
    <v>0</v>
    <v>PALANTIR TECHNOLOGIES INC. (XNAS:PLTR)</v>
    <v>2</v>
    <v>3</v>
    <v>Finance</v>
    <v>4</v>
    <v>207.52</v>
    <v>106.37</v>
    <v>1.5985</v>
    <v>-2.5099999999999998</v>
    <v>-1.5842999999999999E-2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4401</v>
    <v>Nasdaq Stock Market</v>
    <v>XNAS</v>
    <v>XNAS</v>
    <v>1200 17Th Street, Floor 15, DENVER, CO, 80202 US</v>
    <v>158</v>
    <v>Software &amp; IT Services</v>
    <v>Stock</v>
    <v>46240.999916863278</v>
    <v>251</v>
    <v>152.69999999999999</v>
    <v>374684959280</v>
    <v>PALANTIR TECHNOLOGIES INC.</v>
    <v>PALANTIR TECHNOLOGIES INC.</v>
    <v>155.87</v>
    <v>132.8698</v>
    <v>158.43</v>
    <v>155.91999999999999</v>
    <v>2403059000</v>
    <v>PLTR</v>
    <v>PALANTIR TECHNOLOGIES INC. (XNAS:PLTR)</v>
    <v>126398</v>
    <v>44657956</v>
    <v>2003</v>
  </rv>
  <rv s="2">
    <v>252</v>
  </rv>
  <rv s="0">
    <v>https://www.bing.com/financeapi/forcetrigger?t=a1p2ar&amp;q=XNYS%3aBX&amp;form=skydnc</v>
    <v>Learn more on Bing</v>
  </rv>
  <rv s="1">
    <v>en-US</v>
    <v>a1p2ar</v>
    <v>268435456</v>
    <v>1</v>
    <v>Powered by Refinitiv</v>
    <v>0</v>
    <v>BLACKSTONE INC. (XNYS:BX)</v>
    <v>2</v>
    <v>3</v>
    <v>Finance</v>
    <v>9</v>
    <v>190.08500000000001</v>
    <v>101.73</v>
    <v>1.5505</v>
    <v>-2.58</v>
    <v>-1.8966E-2</v>
    <v>USD</v>
    <v>Blackstone Inc. is an alternative asset manager. Its asset management includes global investment strategies focused on real estate, private equity, infrastructure, life sciences, growth equity, credit, real assets, secondaries, and hedge funds. Its Real Estate segment comprises its management of opportunistic real estate funds, Core+ real estate funds, and real estate debt strategies. Its Private Equity segment includes its management of flagship Corporate Private Equity funds, sector and geographically focused Corporate Private Equity funds, core private equity funds, an investment platform, and others. Its Credit &amp; Insurance segment consists of Blackstone Credit &amp; Insurance, which is organized into three overarching strategies: private corporate credit, liquid corporate credit and infrastructure and asset-based credit. Its Multi-Asset Investing segment is organized into four investment platforms: Absolute Return, Multi-Strategy, Total Portfolio Management, and Public Real Assets.</v>
    <v>5285</v>
    <v>New York Stock Exchange</v>
    <v>XNYS</v>
    <v>XNYS</v>
    <v>345 Park Avenue, NEW YORK, NY, 10154 US</v>
    <v>136.69990000000001</v>
    <v>Investment Banking &amp; Investment Services</v>
    <v>Stock</v>
    <v>46240.999348298436</v>
    <v>254</v>
    <v>132.77000000000001</v>
    <v>159670256000</v>
    <v>BLACKSTONE INC.</v>
    <v>BLACKSTONE INC.</v>
    <v>136.27000000000001</v>
    <v>29.9129</v>
    <v>136.03</v>
    <v>133.44999999999999</v>
    <v>1196480000</v>
    <v>BX</v>
    <v>BLACKSTONE INC. (XNYS:BX)</v>
    <v>1</v>
    <v>4840753</v>
    <v>2007</v>
  </rv>
  <rv s="2">
    <v>255</v>
  </rv>
  <rv s="0">
    <v>https://www.bing.com/financeapi/forcetrigger?t=alo152&amp;q=XAMS%3aBESI&amp;form=skydnc</v>
    <v>Learn more on Bing</v>
  </rv>
  <rv s="16">
    <v>en-US</v>
    <v>alo152</v>
    <v>268435456</v>
    <v>1</v>
    <v>Powered by Refinitiv</v>
    <v>41</v>
    <v>BE Semiconductor Industries NV (XAMS:BESI)</v>
    <v>2</v>
    <v>42</v>
    <v>Finance</v>
    <v>34</v>
    <v>328.4</v>
    <v>105.4</v>
    <v>1.8701000000000001</v>
    <v>-0.2</v>
    <v>-9.2079999999999994E-4</v>
    <v>EUR</v>
    <v>BE Semiconductor Industries N.V. (Besi) is a holding company. The Company is engaged in the development, manufacturing, marketing, sales and service of semiconductor assembly equipment for the global semiconductor and electronics industries. It operates through three segments: Die Attach, Packaging and Plating. It develops assembly processes and equipment for leadframe, substrate and wafer level packaging applications in a range of end user markets, including electronics, computer, automotive, industrial and solar energy. The Company offers products, such as Die attach equipment, which include single chip, multi-chip, multi module, flip chip, thermo-compression bonding (TCB) and enhanced wafer level ball grid array (eWLB) die bonding systems, and die sorting systems; Packaging equipment, which include wafer level molding and singulation systems, and Plating equipment, which include metal plating systems and related process chemicals.</v>
    <v>1952</v>
    <v>Euronext Amsterdam</v>
    <v>XAMS</v>
    <v>XAMS</v>
    <v>Ratio 6, DUIVEN, GELDERLAND, 6921 RW NL</v>
    <v>217.3</v>
    <v>Semiconductors &amp; Semiconductor Equipment</v>
    <v>Stock</v>
    <v>46241.336284722223</v>
    <v>257</v>
    <v>215</v>
    <v>17487120000</v>
    <v>BE Semiconductor Industries NV</v>
    <v>BE Semiconductor Industries NV</v>
    <v>215.5</v>
    <v>82.710800000000006</v>
    <v>217.2</v>
    <v>217</v>
    <v>81146740</v>
    <v>BESI</v>
    <v>BE Semiconductor Industries NV (XAMS:BESI)</v>
    <v>23093</v>
    <v>694940</v>
  </rv>
  <rv s="2">
    <v>258</v>
  </rv>
  <rv s="0">
    <v>https://www.bing.com/financeapi/forcetrigger?t=a23752&amp;q=XNAS%3aSMTC&amp;form=skydnc</v>
    <v>Learn more on Bing</v>
  </rv>
  <rv s="1">
    <v>en-US</v>
    <v>a23752</v>
    <v>268435456</v>
    <v>1</v>
    <v>Powered by Refinitiv</v>
    <v>0</v>
    <v>SEMTECH CORPORATION (XNAS:SMTC)</v>
    <v>2</v>
    <v>3</v>
    <v>Finance</v>
    <v>4</v>
    <v>177.35</v>
    <v>46.02</v>
    <v>2.3353000000000002</v>
    <v>13.53</v>
    <v>0.11158799999999999</v>
    <v>USD</v>
    <v>Semtech Corporation is a provider of high-performance semiconductors, Internet of Things (IoT) systems and cloud connectivity service solutions. Signal Integrity segment designs, develops, manufactures and markets a portfolio of optical and copper data communications and video transport products used in a wide variety of infrastructure and industrial applications. The Analog Mixed Signal and Wireless segment designs, develops, manufactures and markets high-performance protection devices, which are often referred to as transient voltage suppressors and specialized sensing products. The IoT Systems and Connectivity segment designs, develops, operates and markets a comprehensive product portfolio of IoT solutions that enable businesses to connect and manage their devices, collect and analyze data, and improve decision-making. It also manufactures Indium Phosphide optoelectronic devices for optical transceivers used across data center interconnects and intra-data center interconnects.</v>
    <v>1920</v>
    <v>Nasdaq Stock Market</v>
    <v>XNAS</v>
    <v>XNAS</v>
    <v>200 Flynn Rd, CAMARILLO, CA, 93012-8790 US</v>
    <v>137.15</v>
    <v>Semiconductors &amp; Semiconductor Equipment</v>
    <v>Stock</v>
    <v>46240.999576017966</v>
    <v>260</v>
    <v>117.5</v>
    <v>12554914692</v>
    <v>SEMTECH CORPORATION</v>
    <v>SEMTECH CORPORATION</v>
    <v>119.74</v>
    <v>0</v>
    <v>121.25</v>
    <v>134.78</v>
    <v>93151170</v>
    <v>SMTC</v>
    <v>SEMTECH CORPORATION (XNAS:SMTC)</v>
    <v>5720</v>
    <v>2501719</v>
    <v>1960</v>
  </rv>
  <rv s="2">
    <v>261</v>
  </rv>
  <rv s="0">
    <v>https://www.bing.com/financeapi/forcetrigger?t=a1vmf2&amp;q=XNAS%3aINTC&amp;form=skydnc</v>
    <v>Learn more on Bing</v>
  </rv>
  <rv s="1">
    <v>en-US</v>
    <v>a1vmf2</v>
    <v>268435456</v>
    <v>1</v>
    <v>Powered by Refinitiv</v>
    <v>0</v>
    <v>INTEL CORPORATION (XNAS:INTC)</v>
    <v>2</v>
    <v>3</v>
    <v>Finance</v>
    <v>4</v>
    <v>142.35</v>
    <v>19.600000000000001</v>
    <v>2.2482000000000002</v>
    <v>-1.25</v>
    <v>-1.2369000000000002E-2</v>
    <v>USD</v>
    <v>Intel Corporation is a global designer and manufacturer of semiconductor products. The Company's segments include Intel Products, Intel Foundry, and All Other. Its Intel Products comprise Client Computing Group (CCG) and Data Center and AI (DCAI). CCG delivers platforms and processors that power PCs and edge devices, enabling enhanced performance, connectivity and user experience for consumer and commercial markets with capabilities that also support retail, industrial robotics and AI ecosystems at the edge. DCAI delivers workload-optimized solutions based upon its x86 architecture for data centers, including CPUs, AI accelerators, NICs, IPUs and custom ASICs, enabling performance and scalability for cloud, enterprise, telecommunication and HPC environments. The Intel Foundry segment comprises technology development, manufacturing and foundry services, developing new semiconductor process technologies and advanced packaging technologies. All Other segments include Mobileye and Other.</v>
    <v>82300</v>
    <v>Nasdaq Stock Market</v>
    <v>XNAS</v>
    <v>XNAS</v>
    <v>2200 Mission College Blvd, Rnb-4-151, SANTA CLARA, CA, 95054 US</v>
    <v>103.37990000000001</v>
    <v>Semiconductors &amp; Semiconductor Equipment</v>
    <v>Stock</v>
    <v>46240.999989501564</v>
    <v>263</v>
    <v>95.6</v>
    <v>503441640000</v>
    <v>INTEL CORPORATION</v>
    <v>INTEL CORPORATION</v>
    <v>98.22</v>
    <v>0</v>
    <v>101.06</v>
    <v>99.81</v>
    <v>5044000000</v>
    <v>INTC</v>
    <v>INTEL CORPORATION (XNAS:INTC)</v>
    <v>360891</v>
    <v>115188278</v>
    <v>1989</v>
  </rv>
  <rv s="2">
    <v>264</v>
  </rv>
  <rv s="0">
    <v>https://www.bing.com/financeapi/forcetrigger?t=a1wxjc&amp;q=XNAS%3aLITE&amp;form=skydnc</v>
    <v>Learn more on Bing</v>
  </rv>
  <rv s="1">
    <v>en-US</v>
    <v>a1wxjc</v>
    <v>268435456</v>
    <v>1</v>
    <v>Powered by Refinitiv</v>
    <v>0</v>
    <v>LUMENTUM HOLDINGS INC. (XNAS:LITE)</v>
    <v>2</v>
    <v>3</v>
    <v>Finance</v>
    <v>4</v>
    <v>1085.68</v>
    <v>108.71</v>
    <v>1.5259</v>
    <v>11.8</v>
    <v>1.4280999999999999E-2</v>
    <v>USD</v>
    <v>Lumentum Holdings Inc. is an optical and photonic technology that powers the networks and infrastructure behind artificial intelligence (AI), cloud computing, and next-generation communications. Its segments include Cloud &amp; Networking and Industrial Tech. The Cloud &amp; Networking segment products include a comprehensive portfolio of optical and photonic components, modules, and subsystems supplied to cloud and communications network operators and network equipment manufacturers building cloud data center infrastructure, including products for AI and machine learning and data center interconnect (DCI) applications, and communications service provider networks, including products for access (local), metro (intracity), long-haul (city-to-city and worldwide), and submarine (undersea) network infrastructure. The Industrial Tech segment's products include short-pulse solid-state lasers, kilowatt-class fiber lasers, diode lasers, and gas lasers, serving a range of end-market applications.</v>
    <v>10562</v>
    <v>Nasdaq Stock Market</v>
    <v>XNAS</v>
    <v>XNAS</v>
    <v>1001 Ridder Park Dr, SAN JOSE, CA, 95131-2314 US</v>
    <v>881.79</v>
    <v>Communications &amp; Networking</v>
    <v>Stock</v>
    <v>46240.999971585159</v>
    <v>266</v>
    <v>793.00009999999997</v>
    <v>65201067999</v>
    <v>LUMENTUM HOLDINGS INC.</v>
    <v>LUMENTUM HOLDINGS INC.</v>
    <v>808.53</v>
    <v>155.5393</v>
    <v>826.26</v>
    <v>838.06</v>
    <v>77800000</v>
    <v>LITE</v>
    <v>LUMENTUM HOLDINGS INC. (XNAS:LITE)</v>
    <v>32325</v>
    <v>4404845</v>
    <v>2015</v>
  </rv>
  <rv s="2">
    <v>267</v>
  </rv>
  <rv s="17">
    <v>en-US</v>
    <v>cibefr</v>
    <v>268435456</v>
    <v>1</v>
    <v>Powered by Refinitiv</v>
    <v>43</v>
    <v>WOLFSPEED, INC. (XNYS:WOLF)</v>
    <v>30</v>
    <v>37</v>
    <v>Finance</v>
    <v>4</v>
    <v>80.819999999999993</v>
    <v>8.0500000000000007</v>
    <v>5.577</v>
    <v>2.4</v>
    <v>9.5276E-2</v>
    <v>USD</v>
    <v>Wolfspeed, Inc. is an innovator of wide bandgap semiconductors, focused on silicon carbide materials and devices for power applications. The Company’s products include power devices and silicon carbide and gallium nitride (GaN) materials. Its products are targeted for various applications such as electric vehicles, fast charging and renewable energy and storage. The Company’s materials products and power devices are used in electric vehicles, motor drives, power supplies, solar and transportation applications. Its materials products are also used in military communications, radar, satellite and telecommunication applications. The Company’s power device products consist of silicon carbide Schottky diodes, metal oxide semiconductor field effect transistors (MOSFETs) and power modules. Its silicon carbide materials products consist of silicon carbide bare wafers, epitaxial wafers, and GaN epitaxial layers on silicon carbide wafers.</v>
    <v>3434</v>
    <v>New York Stock Exchange</v>
    <v>XNYS</v>
    <v>XNYS</v>
    <v>4600 Silicon Dr, DURHAM, NC, 27703 US</v>
    <v>29.06</v>
    <v>Semiconductors &amp; Semiconductor Equipment</v>
    <v>Stock</v>
    <v>46240.999809142966</v>
    <v>25</v>
    <v>1433910239</v>
    <v>WOLFSPEED, INC.</v>
    <v>WOLFSPEED, INC.</v>
    <v>25.4</v>
    <v>25.19</v>
    <v>27.59</v>
    <v>51972100</v>
    <v>WOLF</v>
    <v>WOLFSPEED, INC. (XNYS:WOLF)</v>
    <v>22622</v>
    <v>4103325</v>
    <v>2025</v>
  </rv>
  <rv s="2">
    <v>269</v>
  </rv>
  <rv s="0">
    <v>https://www.bing.com/financeapi/forcetrigger?t=a1nz8m&amp;q=XNAS%3aAVGO&amp;form=skydnc</v>
    <v>Learn more on Bing</v>
  </rv>
  <rv s="1">
    <v>en-US</v>
    <v>a1nz8m</v>
    <v>268435456</v>
    <v>1</v>
    <v>Powered by Refinitiv</v>
    <v>0</v>
    <v>BROADCOM INC. (XNAS:AVGO)</v>
    <v>2</v>
    <v>3</v>
    <v>Finance</v>
    <v>4</v>
    <v>495</v>
    <v>281.87</v>
    <v>1.4730000000000001</v>
    <v>2.2850000000000001</v>
    <v>5.463E-3</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33000</v>
    <v>Nasdaq Stock Market</v>
    <v>XNAS</v>
    <v>XNAS</v>
    <v>3421 Hillview Avenue, PALO ALTO, CA, 94304 US</v>
    <v>428.03</v>
    <v>Semiconductors &amp; Semiconductor Equipment</v>
    <v>Stock</v>
    <v>46240.999818471872</v>
    <v>271</v>
    <v>410.76</v>
    <v>2000871632700</v>
    <v>BROADCOM INC.</v>
    <v>BROADCOM INC.</v>
    <v>420.54500000000002</v>
    <v>70.0535</v>
    <v>418.28</v>
    <v>420.565</v>
    <v>4757580000</v>
    <v>AVGO</v>
    <v>BROADCOM INC. (XNAS:AVGO)</v>
    <v>22521</v>
    <v>21041773</v>
    <v>2018</v>
  </rv>
  <rv s="2">
    <v>272</v>
  </rv>
  <rv s="0">
    <v>https://www.bing.com/financeapi/forcetrigger?t=bssf27&amp;q=XNAS%3aSITM&amp;form=skydnc</v>
    <v>Learn more on Bing</v>
  </rv>
  <rv s="1">
    <v>en-US</v>
    <v>bssf27</v>
    <v>268435456</v>
    <v>1</v>
    <v>Powered by Refinitiv</v>
    <v>0</v>
    <v>SITIME CORPORATION (XNAS:SITM)</v>
    <v>2</v>
    <v>3</v>
    <v>Finance</v>
    <v>4</v>
    <v>901.81</v>
    <v>192</v>
    <v>2.8506999999999998</v>
    <v>144.38</v>
    <v>0.26583400000000001</v>
    <v>USD</v>
    <v>SiTime Corporation is a provider of Precision Timing solutions to the global electronics industry. The Company's products have been designed into over 400 applications across our target markets, including artificial intelligence (AI) systems, datacenter, communications, enterprise, automotive, industrial, aerospace, defense, mobile, Internet of Things (IoT), and consumer. Its solutions include various types of oscillators, as well as clock integrated circuits (ICs), resonators, and synchronization software. The Company's Precision Timing solutions comprise of Oscillators and Clock ICs, MEMS resonators, and Advanced system-level integration, and Software suite. Its low-power nano-ampere and high-resolution DualMEMS sensing technologies stabilize its Precision Timing solutions despite rapid temperature changes. It is specialized in the silicon MEMS timing industry with the MEMS First, EpiSeal, TempFlat and ApexMEMS processes and technologies.</v>
    <v>441</v>
    <v>Nasdaq Stock Market</v>
    <v>XNAS</v>
    <v>XNAS</v>
    <v>5451 Patrick Henry Dr, SANTA CLARA, CA, 95054-1167 US</v>
    <v>693.66499999999996</v>
    <v>Semiconductors &amp; Semiconductor Equipment</v>
    <v>Stock</v>
    <v>46240.999822441408</v>
    <v>274</v>
    <v>622.69000000000005</v>
    <v>18147820625</v>
    <v>SITIME CORPORATION</v>
    <v>SITIME CORPORATION</v>
    <v>684.88</v>
    <v>1362.87</v>
    <v>543.12</v>
    <v>687.5</v>
    <v>26396830</v>
    <v>SITM</v>
    <v>SITIME CORPORATION (XNAS:SITM)</v>
    <v>647</v>
    <v>461428</v>
    <v>2003</v>
  </rv>
  <rv s="2">
    <v>275</v>
  </rv>
  <rv s="0">
    <v>https://www.bing.com/financeapi/forcetrigger?t=bn6lmw&amp;q=XNYS%3aBE&amp;form=skydnc</v>
    <v>Learn more on Bing</v>
  </rv>
  <rv s="14">
    <v>en-US</v>
    <v>bn6lmw</v>
    <v>268435456</v>
    <v>1</v>
    <v>Powered by Refinitiv</v>
    <v>36</v>
    <v>BLOOM ENERGY CORPORATION (XNYS:BE)</v>
    <v>2</v>
    <v>37</v>
    <v>Finance</v>
    <v>4</v>
    <v>351.28</v>
    <v>35.85</v>
    <v>3.8252000000000002</v>
    <v>-5.37</v>
    <v>-2.2915999999999999E-2</v>
    <v>USD</v>
    <v>Bloom Energy Corporation is engaged in stationary fuel cell power generation by market share. The Company provides distributed energy technology solutions to customers. The Company manufactures advanced and versatile fuel cell energy platforms, supporting the commercial availability of two products: the Bloom Energy Server for generating electricity and the Bloom Electrolyzer for producing hydrogen. With approximately 1.4 gigawatts (GW) of Energy Server systems deployed in more than 1,000 locations and nine countries. Its solid oxide fuel cell technology platform is the foundation for its Energy Server system and Bloom Electrolyzer. The Bloom Energy Server system is designed to deliver reliable, resilient, clean and affordable energy for utilities and organizations alike. Its Energy Server system is designed to deliver reliable electricity. The Bloom Electrolyzer is designed to provide hydrogen solutions based on the same solid oxide platform as its Energy Server systems.</v>
    <v>2214</v>
    <v>New York Stock Exchange</v>
    <v>XNYS</v>
    <v>XNYS</v>
    <v>4353 N 1st St, SAN JOSE, CA, 95134-1259 US</v>
    <v>249.45</v>
    <v>Machinery, Equipment &amp; Components</v>
    <v>Stock</v>
    <v>46240.999986469535</v>
    <v>277</v>
    <v>221.21</v>
    <v>67434970608</v>
    <v>BLOOM ENERGY CORPORATION</v>
    <v>BLOOM ENERGY CORPORATION</v>
    <v>223</v>
    <v>234.33</v>
    <v>228.96</v>
    <v>294527300</v>
    <v>BE</v>
    <v>BLOOM ENERGY CORPORATION (XNYS:BE)</v>
    <v>48515</v>
    <v>17087415</v>
    <v>2001</v>
  </rv>
  <rv s="2">
    <v>278</v>
  </rv>
  <rv s="15">
    <v>en-US</v>
    <v>c8etk2</v>
    <v>268435456</v>
    <v>1</v>
    <v>Powered by Refinitiv</v>
    <v>39</v>
    <v>EA:Alp Arch 1-3 Month Bx (BATS:BOXX)</v>
    <v>40</v>
    <v>7</v>
    <v>Finance</v>
    <v>10</v>
    <v>117.75</v>
    <v>113.11</v>
    <v>0.49740000000000001</v>
    <v>0.02</v>
    <v>1.6990000000000001E-4</v>
    <v>USD</v>
    <v>CBOE BZX Exchange</v>
    <v>BATS</v>
    <v>1.9E-3</v>
    <v>117.75</v>
    <v>ETF</v>
    <v>46240.999555428127</v>
    <v>117.7</v>
    <v>13323982987.280001</v>
    <v>EA:Alp Arch 1-3 Month Bx</v>
    <v>117.75</v>
    <v>117.7</v>
    <v>117.72</v>
    <v>BOXX</v>
    <v>EA:Alp Arch 1-3 Month Bx (BATS:BOXX)</v>
    <v>28380</v>
    <v>2430772</v>
  </rv>
  <rv s="2">
    <v>280</v>
  </rv>
  <rv s="0">
    <v>https://www.bing.com/financeapi/forcetrigger?t=a1yvur&amp;q=XNAS%3aNVMI&amp;form=skydnc</v>
    <v>Learn more on Bing</v>
  </rv>
  <rv s="1">
    <v>en-US</v>
    <v>a1yvur</v>
    <v>268435456</v>
    <v>1</v>
    <v>Powered by Refinitiv</v>
    <v>0</v>
    <v>NOVA LTD (XNAS:NVMI)</v>
    <v>2</v>
    <v>3</v>
    <v>Finance</v>
    <v>4</v>
    <v>615.99</v>
    <v>232.72499999999999</v>
    <v>1.7707999999999999</v>
    <v>-21.06</v>
    <v>-5.2339000000000004E-2</v>
    <v>USD</v>
    <v>Nova Ltd, former Nova Measuring Instruments Ltd,is an Israel based company which provides metrology solutions for the semiconductor manufacturing industry. The Company offers in-line Optical and x-ray stand-alone metrology systems, as well as integrated optical metrology systems, which are attached directly to wafer fabrication process equipment. Its metrology systems measure various film thickness and composition properties, as well as critical-dimension (CD) variables during various front-end and back-end of line steps in the semiconductor wafer fabrication process. Its product portfolio includes a set of in-situ, integrated and stand-alone metrology platforms suited for dimensional, films and material metrology measurements for process control across multiple semiconductor manufacturing process steps. Its products include NovaScan 2040, NovaScan 3090Next, Nova i500, Nova T500, Nova T600, Nova V2600 TSV metrology system among others.</v>
    <v>1612</v>
    <v>Nasdaq Stock Market</v>
    <v>XNAS</v>
    <v>XNAS</v>
    <v>5 David Fikes Street, REHOVOT, Central(HaMerkaz), 7610201 IL</v>
    <v>404.98</v>
    <v>Semiconductors &amp; Semiconductor Equipment</v>
    <v>Stock</v>
    <v>46240.993503610938</v>
    <v>282</v>
    <v>378.01</v>
    <v>12128324931</v>
    <v>NOVA LTD</v>
    <v>NOVA LTD</v>
    <v>402.91</v>
    <v>48.4193</v>
    <v>402.38</v>
    <v>381.32</v>
    <v>31806160</v>
    <v>NVMI</v>
    <v>NOVA LTD (XNAS:NVMI)</v>
    <v>2197</v>
    <v>589895</v>
    <v>1993</v>
  </rv>
  <rv s="2">
    <v>283</v>
  </rv>
  <rv s="0">
    <v>https://www.bing.com/financeapi/forcetrigger?t=buln1h&amp;q=ARCX%3aJEPI&amp;form=skydnc</v>
    <v>Learn more on Bing</v>
  </rv>
  <rv s="3">
    <v>en-US</v>
    <v>buln1h</v>
    <v>268435456</v>
    <v>1</v>
    <v>Powered by Refinitiv</v>
    <v>5</v>
    <v>JPMorgan:Eqty Prem Inc (ARCX:JEPI)</v>
    <v>6</v>
    <v>7</v>
    <v>Finance</v>
    <v>10</v>
    <v>59.9</v>
    <v>55.1</v>
    <v>0.40050000000000002</v>
    <v>0.08</v>
    <v>1.3910000000000001E-3</v>
    <v>USD</v>
    <v>NYSE Arca</v>
    <v>ARCX</v>
    <v>3.4999999999999996E-3</v>
    <v>57.76</v>
    <v>ETF</v>
    <v>46240.998933622657</v>
    <v>285</v>
    <v>57.459899999999998</v>
    <v>45800605975.120003</v>
    <v>JPMorgan:Eqty Prem Inc</v>
    <v>57.72</v>
    <v>57.51</v>
    <v>57.59</v>
    <v>JEPI</v>
    <v>JPMorgan:Eqty Prem Inc (ARCX:JEPI)</v>
    <v>6504</v>
    <v>4736708</v>
  </rv>
  <rv s="2">
    <v>286</v>
  </rv>
  <rv s="0">
    <v>https://www.bing.com/financeapi/forcetrigger?t=bpoxyc&amp;q=XNAS%3aZM&amp;form=skydnc</v>
    <v>Learn more on Bing</v>
  </rv>
  <rv s="1">
    <v>en-US</v>
    <v>bpoxyc</v>
    <v>268435456</v>
    <v>1</v>
    <v>Powered by Refinitiv</v>
    <v>0</v>
    <v>ZOOM COMMUNICATIONS, INC. (XNAS:ZM)</v>
    <v>2</v>
    <v>3</v>
    <v>Finance</v>
    <v>9</v>
    <v>114.74</v>
    <v>69.150000000000006</v>
    <v>1.0468999999999999</v>
    <v>0.66</v>
    <v>6.5580000000000005E-3</v>
    <v>USD</v>
    <v>Zoom Communications, Inc. provides an artificial intelligence (AI) work platform for human connection. Zoom Workplace, the Company's AI-powered, open collaboration platform built for modern work, enables us to streamline communications, increase employee engagement, optimize in-person time, improve productivity, and offer customer choice with third-party apps and integrations. Zoom Workplace, powered by Zoom AI Companion, includes collaboration solutions like meetings, chat, phone, contact center, events, and more. Its communication products include Zoom Meetings, Zoom Phone, Zoom Team Chat, Zoom scheduler, and Zoom mail and calendar. Its productivity products include Zoom Docs, Zoom Whiteboard, Zoom Clips, and Zoom Tasks. Its space products include Zoom Rooms, Zoom Workspace Reservation, and Zoom Visitor Management. It serves various industries, including education, financial services, government, retail, manufacturing and healthcare.</v>
    <v>7438</v>
    <v>Nasdaq Stock Market</v>
    <v>XNAS</v>
    <v>XNAS</v>
    <v>55 Almaden Boulevard, 6Th Floor, SAN JOSE, CA, 95113 US</v>
    <v>101.41</v>
    <v>Software &amp; IT Services</v>
    <v>Stock</v>
    <v>46240.997942221875</v>
    <v>288</v>
    <v>98.36</v>
    <v>29704421860</v>
    <v>ZOOM COMMUNICATIONS, INC.</v>
    <v>ZOOM COMMUNICATIONS, INC.</v>
    <v>98.81</v>
    <v>14.9023</v>
    <v>100.64</v>
    <v>101.3</v>
    <v>293232200</v>
    <v>ZM</v>
    <v>ZOOM COMMUNICATIONS, INC. (XNAS:ZM)</v>
    <v>884</v>
    <v>3203623</v>
    <v>2011</v>
  </rv>
  <rv s="2">
    <v>289</v>
  </rv>
  <rv s="0">
    <v>https://www.bing.com/financeapi/forcetrigger?t=a1ppvh&amp;q=XNYS%3aCIEN&amp;form=skydnc</v>
    <v>Learn more on Bing</v>
  </rv>
  <rv s="1">
    <v>en-US</v>
    <v>a1ppvh</v>
    <v>268435456</v>
    <v>1</v>
    <v>Powered by Refinitiv</v>
    <v>0</v>
    <v>CIENA CORPORATION (XNYS:CIEN)</v>
    <v>2</v>
    <v>3</v>
    <v>Finance</v>
    <v>4</v>
    <v>637.51</v>
    <v>84.41</v>
    <v>1.3174999999999999</v>
    <v>-5.07</v>
    <v>-1.2401000000000001E-2</v>
    <v>USD</v>
    <v>Ciena Corporation is a network system, software, and services company which provides hardware, software, and services to a range of network operators and enables enhanced network capacity, service delivery, and automation. Its segments include Networking Platforms, Platform Software and Services, Blue Planet Automation Software and Services, and Global Services. Networking Platforms segment consists of Optical Networking and Routing and Switching portfolios. Platform Software and Services which provides domain control management, analytics, data and planning tools and applications to assist customers in managing their networks. Blue Planet Automation Software and Services includes inventory management (BPI), multi-domain service orchestration, multi-cloud orchestration, route optimization and analysis (ROA), and unified assurance and analytics (UAA). Global Services segment offers a suite of value-added services that help its customers to build, operate and improve their networks.</v>
    <v>8898</v>
    <v>New York Stock Exchange</v>
    <v>XNYS</v>
    <v>XNYS</v>
    <v>7035 Ridge Road, HANOVER, MD, 21076 US</v>
    <v>419.49</v>
    <v>Communications &amp; Networking</v>
    <v>Stock</v>
    <v>46240.999825948435</v>
    <v>291</v>
    <v>390.56229999999999</v>
    <v>57153398904</v>
    <v>CIENA CORPORATION</v>
    <v>CIENA CORPORATION</v>
    <v>396.05</v>
    <v>134.39490000000001</v>
    <v>408.83</v>
    <v>403.76</v>
    <v>141552900</v>
    <v>CIEN</v>
    <v>CIENA CORPORATION (XNYS:CIEN)</v>
    <v>3207</v>
    <v>1970459</v>
    <v>1992</v>
  </rv>
  <rv s="2">
    <v>292</v>
  </rv>
  <rv s="0">
    <v>https://www.bing.com/financeapi/forcetrigger?t=aea34c&amp;q=XPAR%3aSOI&amp;form=skydnc</v>
    <v>Learn more on Bing</v>
  </rv>
  <rv s="1">
    <v>en-US</v>
    <v>aea34c</v>
    <v>268435456</v>
    <v>1</v>
    <v>Powered by Refinitiv</v>
    <v>0</v>
    <v>Soitec SA (XPAR:SOI)</v>
    <v>2</v>
    <v>38</v>
    <v>Finance</v>
    <v>34</v>
    <v>200.5</v>
    <v>22.62</v>
    <v>1.4895</v>
    <v>-0.3</v>
    <v>-2.4840000000000001E-3</v>
    <v>EUR</v>
    <v>Soitec SA is a France-based company engaged in the semiconductors industry. The Company focuses on the microelectronics sector, mainly in on the production and marketing of silicon-on-insulator (SOI) wafers. Its products are patterned and cut into chips to make circuits for electronic components. The Company offers solutions for miniaturizing chips, improving product’s performance and reducing energy usage. Soitec SA speeds up the mobile and digital sectors. Its products are used to manufacture chips that go into smart phones, tables, computer, Internet technology (IT) and data centers as well as electronic components in cars, connected devices and industrial and medical equipment. It operates in the domestic market and internationally.</v>
    <v>2123</v>
    <v>Euronext Paris</v>
    <v>XPAR</v>
    <v>XPAR</v>
    <v>Parc Technologique des Fontaines, Chemin des Franques, BERNIN, ISERE, 38190 FR</v>
    <v>121</v>
    <v>Semiconductors &amp; Semiconductor Equipment</v>
    <v>Stock</v>
    <v>46241.336254918751</v>
    <v>294</v>
    <v>118.8</v>
    <v>4272648000</v>
    <v>Soitec SA</v>
    <v>Soitec SA</v>
    <v>120</v>
    <v>0</v>
    <v>120.75</v>
    <v>120.45</v>
    <v>35814320</v>
    <v>SOI</v>
    <v>Soitec SA (XPAR:SOI)</v>
    <v>16053</v>
    <v>459740</v>
    <v>1992</v>
  </rv>
  <rv s="2">
    <v>295</v>
  </rv>
  <rv s="0">
    <v>https://www.bing.com/financeapi/forcetrigger?t=a1zmqh&amp;q=XNAS%3aPDFS&amp;form=skydnc</v>
    <v>Learn more on Bing</v>
  </rv>
  <rv s="1">
    <v>en-US</v>
    <v>a1zmqh</v>
    <v>268435456</v>
    <v>1</v>
    <v>Powered by Refinitiv</v>
    <v>0</v>
    <v>PDF SOLUTIONS, INC. (XNAS:PDFS)</v>
    <v>2</v>
    <v>3</v>
    <v>Finance</v>
    <v>9</v>
    <v>71.685000000000002</v>
    <v>18.12</v>
    <v>1.6476</v>
    <v>-3.56</v>
    <v>-7.1976999999999999E-2</v>
    <v>USD</v>
    <v>PDF Solutions, Inc. is a provider of comprehensive data solutions designed for organizations across the semiconductor and electronics ecosystems. The Company offers products and services designed to help organizations across semiconductor and electronics ecosystems to connect, collect, manage, and analyze data about design, equipment, manufacturing, and tests to improve the yield and quality of their products. Its offerings combine proprietary software, professional services and third-party cloud-hosting platforms for software-as-a-service (SaaS), electrical measurement hardware tools, and physical intellectual property (IP) for integrated circuit (IC) designs. The Company's products, services, and solutions have been sold to integrated device manufacturers (IDMs), fabless semiconductor companies, foundries, outsourced semiconductor assembly and test (OSATs), capital equipment manufacturers, and system houses.</v>
    <v>600</v>
    <v>Nasdaq Stock Market</v>
    <v>XNAS</v>
    <v>XNAS</v>
    <v>2858 De La Cruz Boulevard, SANTA CLARA, CA, 95050 US</v>
    <v>50.76</v>
    <v>Semiconductors &amp; Semiconductor Equipment</v>
    <v>Stock</v>
    <v>46240.997114166406</v>
    <v>297</v>
    <v>45.65</v>
    <v>1921264758</v>
    <v>PDF SOLUTIONS, INC.</v>
    <v>PDF SOLUTIONS, INC.</v>
    <v>48.72</v>
    <v>255.99549999999999</v>
    <v>49.46</v>
    <v>45.9</v>
    <v>41857620</v>
    <v>PDFS</v>
    <v>PDF SOLUTIONS, INC. (XNAS:PDFS)</v>
    <v>2127</v>
    <v>571923</v>
    <v>2000</v>
  </rv>
  <rv s="2">
    <v>298</v>
  </rv>
  <rv s="18">
    <v>en-US</v>
    <v>av932w</v>
    <v>268435456</v>
    <v>1</v>
    <v>Powered by Refinitiv</v>
    <v>44</v>
    <v>EUR/USD</v>
    <v>40</v>
    <v>45</v>
    <v>Finance</v>
    <v>46</v>
    <v>1.2078</v>
    <v>1.1324000000000001</v>
    <v>-4.0000000000000002E-4</v>
    <v>-3.4709999999999998E-4</v>
    <v>USD</v>
    <v>EUR</v>
    <v>1.1525000000000001</v>
    <v>Currency Pair</v>
    <v>46241.346736111111</v>
    <v>1.1517999999999999</v>
    <v>Euro/US Dollar FX Spot Rate</v>
    <v>1.1524000000000001</v>
    <v>1.1524000000000001</v>
    <v>1.1519999999999999</v>
    <v>EURUSD</v>
    <v>EUR/USD</v>
  </rv>
  <rv s="2">
    <v>300</v>
  </rv>
  <rv s="0">
    <v>https://www.bing.com/financeapi/forcetrigger?t=a1z8jc&amp;q=XNAS%3aON&amp;form=skydnc</v>
    <v>Learn more on Bing</v>
  </rv>
  <rv s="1">
    <v>en-US</v>
    <v>a1z8jc</v>
    <v>268435456</v>
    <v>1</v>
    <v>Powered by Refinitiv</v>
    <v>0</v>
    <v>ON SEMICONDUCTOR CORPORATION (XNAS:ON)</v>
    <v>2</v>
    <v>3</v>
    <v>Finance</v>
    <v>4</v>
    <v>134.91999999999999</v>
    <v>44.56</v>
    <v>1.9948999999999999</v>
    <v>1.42</v>
    <v>1.8463E-2</v>
    <v>USD</v>
    <v>ON Semiconductor Corporation is engaged in providing intelligent power and intelligent sensing solutions. The Company’s intelligent power technologies enable the electrification of drivetrain in the automotive industry to allow for lighter and longer-range electric vehicles. Its segments include Power Solutions Group (PSG), the Analog and Mixed-Signal Group (AMG) and the Intelligent Sensing Group (ISG). PSG segment provides a portfolio of discrete, module, and integrated semiconductor devices designed to enable conversion across artificial intelligence (AI) data centers, energy infrastructure, automotive and industrial. AMG segment designs and develops a range of analog and mixed-signal solutions including power‑management, sensor‑interface, connectivity, and products that serve automotive, industrial automation, AI data center, computing, and mobile end markets.</v>
    <v>22600</v>
    <v>Nasdaq Stock Market</v>
    <v>XNAS</v>
    <v>XNAS</v>
    <v>5701 NORTH PIMA ROAD, SCOTTSDALE, AZ, 85250 US</v>
    <v>80.42</v>
    <v>Semiconductors &amp; Semiconductor Equipment</v>
    <v>Stock</v>
    <v>46240.999742314059</v>
    <v>302</v>
    <v>75.69</v>
    <v>30494785461</v>
    <v>ON SEMICONDUCTOR CORPORATION</v>
    <v>ON SEMICONDUCTOR CORPORATION</v>
    <v>75.87</v>
    <v>50.511000000000003</v>
    <v>76.91</v>
    <v>78.33</v>
    <v>389311700</v>
    <v>ON</v>
    <v>ON SEMICONDUCTOR CORPORATION (XNAS:ON)</v>
    <v>3668</v>
    <v>11047535</v>
    <v>2000</v>
  </rv>
  <rv s="2">
    <v>303</v>
  </rv>
  <rv s="0">
    <v>https://www.bing.com/financeapi/forcetrigger?t=a23pkr&amp;q=XNYS%3aSTM&amp;form=skydnc</v>
    <v>Learn more on Bing</v>
  </rv>
  <rv s="1">
    <v>en-US</v>
    <v>a23pkr</v>
    <v>268435456</v>
    <v>1</v>
    <v>Powered by Refinitiv</v>
    <v>0</v>
    <v>STMicroelectronics NV (XNYS:STM)</v>
    <v>2</v>
    <v>3</v>
    <v>Finance</v>
    <v>4</v>
    <v>81.42</v>
    <v>21.11</v>
    <v>1.9384999999999999</v>
    <v>0.51</v>
    <v>9.665E-3</v>
    <v>USD</v>
    <v>STMicroelectronics N.V. is a Netherlands-based semiconductor company. It designs, develops, manufactures and markets a range of products, including discrete and standard commodity components, and application-specific integrated circuits (ASICs) for analog, digital and mixed-signal applications. The Company's segments include Automotive and Discrete Group (ADG), Analog, MEMS and Sensors Group (AMS), and Microcontrollers and Digital ICs Group (MDG). The ADG segment comprises all dedicated automotive Integrated Circuits (ICs), and discrete and power transistor products. The AMS segment includes low-power analog ICs for all markets, smart power products; Touch Screen Controllers, Low Power Connectivity solutions for Internet of Things (IoT), and power conversion products, among others. The AMS segment comprises general purpose and secure microcontrollers, and Electrically Erasable Programmable Read-Only Memory memories.</v>
    <v>49157</v>
    <v>New York Stock Exchange</v>
    <v>XNYS</v>
    <v>XNYS</v>
    <v>WTC Schiphol Airport, Schiphol Boulevard 265, SCHIPHOL, NOORD-HOLLAND, 1118BH NL</v>
    <v>54.58</v>
    <v>Semiconductors &amp; Semiconductor Equipment</v>
    <v>Stock</v>
    <v>46240.995298772657</v>
    <v>305</v>
    <v>52.3</v>
    <v>48553099632</v>
    <v>STMicroelectronics NV</v>
    <v>STMicroelectronics NV</v>
    <v>52.585000000000001</v>
    <v>105.7101</v>
    <v>52.77</v>
    <v>53.28</v>
    <v>911281900</v>
    <v>STM</v>
    <v>STMicroelectronics NV (XNYS:STM)</v>
    <v>6012</v>
    <v>12567224</v>
    <v>1987</v>
  </rv>
  <rv s="2">
    <v>306</v>
  </rv>
  <rv s="0">
    <v>https://www.bing.com/financeapi/forcetrigger?t=a24p1h&amp;q=XNAS%3aTXN&amp;form=skydnc</v>
    <v>Learn more on Bing</v>
  </rv>
  <rv s="1">
    <v>en-US</v>
    <v>a24p1h</v>
    <v>268435456</v>
    <v>1</v>
    <v>Powered by Refinitiv</v>
    <v>0</v>
    <v>TEXAS INSTRUMENTS INCORPORATED (XNAS:TXN)</v>
    <v>2</v>
    <v>3</v>
    <v>Finance</v>
    <v>4</v>
    <v>334.03</v>
    <v>152.72999999999999</v>
    <v>1.3201000000000001</v>
    <v>0.68</v>
    <v>2.4490000000000002E-3</v>
    <v>USD</v>
    <v>Texas Instruments Incorporated is engaged in the design and manufacture of semiconductors. The Company operates through two segments, which include Analog and Embedded Processing. Its Analog segment semiconductors are used to manage power in all electronic equipment by converting, distributing, storing, discharging, isolating, and measuring electrical energy. It consists of two products, which include Power and Signal Chain. The Analog segment includes product lines, such as Power and Signal Chain. Power includes products that help customers manage power in electronic systems. Signal Chain products include amplifiers, data converters, interface products, motor drives, clocks, logic, and sensing products. Its portfolio is designed to manage power requirements across different voltage levels. The Embedded Processing segment products are designed to handle specific tasks and can be optimized for various combinations of performance, power, and cost, depending on the application.</v>
    <v>33000</v>
    <v>Nasdaq Stock Market</v>
    <v>XNAS</v>
    <v>XNAS</v>
    <v>12500 T I Blvd, DALLAS, TX, 75243-0592 US</v>
    <v>283.3</v>
    <v>Semiconductors &amp; Semiconductor Equipment</v>
    <v>Stock</v>
    <v>46240.997403240624</v>
    <v>308</v>
    <v>272.64999999999998</v>
    <v>254248159679</v>
    <v>TEXAS INSTRUMENTS INCORPORATED</v>
    <v>TEXAS INSTRUMENTS INCORPORATED</v>
    <v>274.62</v>
    <v>42.344299999999997</v>
    <v>277.72000000000003</v>
    <v>278.39999999999998</v>
    <v>913247700</v>
    <v>TXN</v>
    <v>TEXAS INSTRUMENTS INCORPORATED (XNAS:TXN)</v>
    <v>350</v>
    <v>8085210</v>
    <v>1938</v>
  </rv>
  <rv s="2">
    <v>309</v>
  </rv>
  <rv s="0">
    <v>https://www.bing.com/financeapi/forcetrigger?t=afcqvh&amp;q=XFRA%3aIFX&amp;form=skydnc</v>
    <v>Learn more on Bing</v>
  </rv>
  <rv s="1">
    <v>en-US</v>
    <v>afcqvh</v>
    <v>268435456</v>
    <v>1</v>
    <v>Powered by Refinitiv</v>
    <v>0</v>
    <v>Infineon Technologies AG (XFRA:IFX)</v>
    <v>2</v>
    <v>38</v>
    <v>Finance</v>
    <v>34</v>
    <v>89.48</v>
    <v>10.220000000000001</v>
    <v>2.0617000000000001</v>
    <v>0.83</v>
    <v>1.3708E-2</v>
    <v>EUR</v>
    <v>Infineon Technologies AG is a Germany based Company. The Company is a developer and manufacturer of semiconductors and related system solutions. The Company operates through four divisions: Automotive, Green Industrial Power, Power &amp; Sensor Systems and Connected Secure Systems. Automotive division designs, develops, manufactures and markets semiconductors to support automotive applications like electromobility, automated driving, connectivity, and advanced security. Industrial Power Control division provides products, solutions and services for energy generation, transmission, storage, and use. Power &amp; Sensor Systems provides semiconductors and power and connectivity devices like chargers, servers, mainboards, power tools, and lighting systems. Connected Secure Systems provides Internet of Things (IoT) technologies like computing, wireless connectivity, and technologies that provide secure connections.</v>
    <v>56500</v>
    <v>Deutsche Boerse AG</v>
    <v>XFRA</v>
    <v>XFRA</v>
    <v>Am Campeon 1-15, BAYERN, 85579 DE</v>
    <v>61.44</v>
    <v>Semiconductors &amp; Semiconductor Equipment</v>
    <v>Stock</v>
    <v>46241.336111111108</v>
    <v>311</v>
    <v>60.76</v>
    <v>78459740000</v>
    <v>Infineon Technologies AG</v>
    <v>Infineon Technologies AG</v>
    <v>60.89</v>
    <v>66.717399999999998</v>
    <v>60.55</v>
    <v>61.38</v>
    <v>1305921000</v>
    <v>IFX</v>
    <v>Infineon Technologies AG (XFRA:IFX)</v>
    <v>1519</v>
    <v>5806600</v>
    <v>1999</v>
  </rv>
  <rv s="2">
    <v>312</v>
  </rv>
  <rv s="0">
    <v>https://www.bing.com/financeapi/forcetrigger?t=ay3r52&amp;q=XNAS%3aDGHI&amp;form=skydnc</v>
    <v>Learn more on Bing</v>
  </rv>
  <rv s="1">
    <v>en-US</v>
    <v>ay3r52</v>
    <v>268435456</v>
    <v>1</v>
    <v>Powered by Refinitiv</v>
    <v>0</v>
    <v>DIGI POWER X INC. (XNAS:DGXX)</v>
    <v>2</v>
    <v>47</v>
    <v>Finance</v>
    <v>9</v>
    <v>9.1999999999999993</v>
    <v>1.86</v>
    <v>7.0902000000000003</v>
    <v>0</v>
    <v>0</v>
    <v>USD</v>
    <v>Digi Power X Inc. is a vertically integrated artificial intelligence (AI) and energy infrastructure company. The Company designs and deploys modular tier three data centers through its AI-Ready Modular Solution (ARMS) platform and offers enterprise-grade GPU compute through its NeoCloud portal, leveraging advanced NVIDIA GPU technology and secured energy infrastructure. Through its subsidiary, US Data Centers, Inc. (US Data Centers), it is focused on creating a platform dedicated entirely to delivering artificial intelligence (AI) and HPC solutions, ensuring purpose-built infrastructure for computing. Its segments include cryptocurrency mining, sales of energy and electricity and colocation services. With multiple sites, including its combined cycle and high-capacity substations, the Company enhances the energy grid, supporting both industrial clients and broader energy markets. It operates Bitcoin mining sites and focuses on procuring power from renewable energy sources.</v>
    <v>17</v>
    <v>Nasdaq Stock Market</v>
    <v>XNAS</v>
    <v>XNAS</v>
    <v>1980 - 1075 West Georgia Street, BC, V6E 3C9 CA</v>
    <v>3.9298999999999999</v>
    <v>Financial Technology (Fintech) &amp; Infrastructure</v>
    <v>Stock</v>
    <v>46240.982037152346</v>
    <v>314</v>
    <v>3.58</v>
    <v>382165100</v>
    <v>DIGI POWER X INC.</v>
    <v>DIGI POWER X INC.</v>
    <v>3.68</v>
    <v>0</v>
    <v>3.75</v>
    <v>3.75</v>
    <v>73493280</v>
    <v>DGXX</v>
    <v>DIGI POWER X INC. (XNAS:DGXX)</v>
    <v>101</v>
    <v>3986817</v>
    <v>2017</v>
  </rv>
  <rv s="2">
    <v>315</v>
  </rv>
</rvData>
</file>

<file path=xl/richData/rdrichvaluestructure.xml><?xml version="1.0" encoding="utf-8"?>
<rvStructures xmlns="http://schemas.microsoft.com/office/spreadsheetml/2017/richdata" count="1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Ticker symbol" t="s"/>
    <k n="UniqueName"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14">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4">
      <v t="s">%EntityServiceId</v>
      <v t="s">_Format</v>
      <v t="s">%IsRefreshable</v>
      <v t="s">%EntityCulture</v>
      <v t="s">%EntityId</v>
      <v t="s">_Icon</v>
      <v t="s">_Display</v>
      <v t="s">Name</v>
      <v t="s">Price</v>
      <v t="s">Ticker symbol</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Instrument type</v>
      <v t="s">_Flags</v>
      <v t="s">UniqueName</v>
      <v t="s">_DisplayString</v>
      <v t="s">LearnMoreOnLink</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1">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Volume average</v>
      <v t="s">Instrument type</v>
      <v t="s">_Flags</v>
      <v t="s">UniqueName</v>
      <v t="s">_DisplayString</v>
      <v t="s">LearnMoreOnLink</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48">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1</v>
      <v>1</v>
      <v>1</v>
    </spb>
    <spb s="6">
      <v>1</v>
      <v>2</v>
      <v>1</v>
      <v>3</v>
      <v>1</v>
      <v>1</v>
      <v>1</v>
      <v>4</v>
      <v>5</v>
      <v>6</v>
      <v>1</v>
      <v>1</v>
      <v>5</v>
      <v>1</v>
      <v>4</v>
      <v>7</v>
      <v>9</v>
    </spb>
    <spb s="7">
      <v>BATS BZX Real-Time Last Price</v>
      <v>from previous close</v>
      <v>from previous close</v>
      <v>GMT</v>
    </spb>
    <spb s="4">
      <v>Delayed 15 minutes</v>
      <v>from previous close</v>
      <v>from previous close</v>
      <v>Source: Nasdaq</v>
      <v>GMT</v>
    </spb>
    <spb s="8">
      <v>Real-Time Nasdaq Last Sale</v>
      <v>from previous close</v>
      <v>Source: Nasdaq Last Sale</v>
      <v>from previous close</v>
      <v>GMT</v>
    </spb>
    <spb s="8">
      <v>Delayed 15 minutes</v>
      <v>from previous close</v>
      <v>Source: Nasdaq</v>
      <v>from previous close</v>
      <v>GMT</v>
    </spb>
    <spb s="0">
      <v>2</v>
      <v>Name</v>
      <v>LearnMoreOnLink</v>
    </spb>
    <spb s="9">
      <v>1</v>
      <v>1</v>
      <v>3</v>
      <v>1</v>
      <v>1</v>
      <v>1</v>
      <v>5</v>
      <v>1</v>
      <v>1</v>
      <v>1</v>
      <v>9</v>
    </spb>
    <spb s="10">
      <v>from previous close</v>
      <v>from previous close</v>
    </spb>
    <spb s="0">
      <v>3</v>
      <v>Name</v>
      <v>LearnMoreOnLink</v>
    </spb>
    <spb s="11">
      <v>1</v>
      <v>2</v>
      <v>1</v>
      <v>3</v>
      <v>1</v>
      <v>1</v>
      <v>1</v>
      <v>4</v>
      <v>5</v>
      <v>6</v>
      <v>1</v>
      <v>1</v>
      <v>5</v>
      <v>1</v>
      <v>7</v>
      <v>9</v>
    </spb>
    <spb s="8">
      <v>Delayed 15 minutes</v>
      <v>from previous close</v>
      <v>LSE</v>
      <v>from previous close</v>
      <v>GMT</v>
    </spb>
    <spb s="0">
      <v>4</v>
      <v>Name</v>
      <v>LearnMoreOnLink</v>
    </spb>
    <spb s="12">
      <v>1</v>
      <v>1</v>
      <v>1</v>
      <v>1</v>
    </spb>
    <spb s="13">
      <v>3</v>
      <v>1</v>
      <v>1</v>
      <v>4</v>
      <v>5</v>
      <v>6</v>
      <v>5</v>
      <v>5</v>
      <v>5</v>
      <v>5</v>
      <v>5</v>
      <v>5</v>
      <v>5</v>
      <v>5</v>
      <v>1</v>
      <v>7</v>
      <v>7</v>
      <v>9</v>
    </spb>
    <spb s="14">
      <v>from previous close</v>
      <v>from previous close</v>
      <v>GMT</v>
      <v>GMT</v>
    </spb>
    <spb s="0">
      <v>5</v>
      <v>Name</v>
      <v>LearnMoreOnLink</v>
    </spb>
    <spb s="15">
      <v>0</v>
      <v>0</v>
    </spb>
    <spb s="16">
      <v>23</v>
      <v>1</v>
      <v>1</v>
      <v>1</v>
      <v>1</v>
    </spb>
    <spb s="17">
      <v>1</v>
      <v>2</v>
      <v>2</v>
      <v>1</v>
      <v>3</v>
      <v>1</v>
      <v>10</v>
      <v>1</v>
      <v>1</v>
      <v>4</v>
      <v>4</v>
      <v>5</v>
      <v>6</v>
      <v>1</v>
      <v>1</v>
      <v>1</v>
      <v>4</v>
      <v>7</v>
      <v>8</v>
      <v>9</v>
      <v>4</v>
    </spb>
    <spb s="18">
      <v>Powered by Refinitiv</v>
    </spb>
    <spb s="0">
      <v>6</v>
      <v>Name</v>
      <v>LearnMoreOnLink</v>
    </spb>
    <spb s="19">
      <v>1</v>
      <v>1</v>
      <v>3</v>
      <v>1</v>
      <v>1</v>
      <v>1</v>
      <v>4</v>
      <v>5</v>
      <v>6</v>
      <v>1</v>
      <v>1</v>
      <v>5</v>
      <v>1</v>
      <v>4</v>
      <v>7</v>
      <v>9</v>
    </spb>
    <spb s="20">
      <v>7</v>
      <v>Name</v>
    </spb>
    <spb s="21">
      <v>1</v>
      <v>1</v>
      <v>1</v>
    </spb>
    <spb s="0">
      <v>8</v>
      <v>Name</v>
      <v>LearnMoreOnLink</v>
    </spb>
    <spb s="22">
      <v>1</v>
      <v>1</v>
      <v>3</v>
      <v>1</v>
      <v>1</v>
      <v>1</v>
      <v>4</v>
      <v>5</v>
      <v>1</v>
      <v>1</v>
      <v>1</v>
      <v>4</v>
      <v>7</v>
      <v>9</v>
    </spb>
    <spb s="3">
      <v>1</v>
      <v>2</v>
      <v>2</v>
      <v>1</v>
      <v>3</v>
      <v>1</v>
      <v>1</v>
      <v>1</v>
      <v>4</v>
      <v>4</v>
      <v>5</v>
      <v>11</v>
      <v>1</v>
      <v>1</v>
      <v>1</v>
      <v>4</v>
      <v>7</v>
      <v>8</v>
      <v>9</v>
      <v>4</v>
    </spb>
    <spb s="7">
      <v>Delayed 15 minutes</v>
      <v>from previous close</v>
      <v>from previous close</v>
      <v>GMT</v>
    </spb>
    <spb s="3">
      <v>1</v>
      <v>2</v>
      <v>2</v>
      <v>1</v>
      <v>3</v>
      <v>1</v>
      <v>1</v>
      <v>1</v>
      <v>4</v>
      <v>4</v>
      <v>5</v>
      <v>12</v>
      <v>1</v>
      <v>1</v>
      <v>1</v>
      <v>4</v>
      <v>7</v>
      <v>8</v>
      <v>9</v>
      <v>4</v>
    </spb>
    <spb s="0">
      <v>9</v>
      <v>Name</v>
      <v>LearnMoreOnLink</v>
    </spb>
    <spb s="23">
      <v>1</v>
      <v>2</v>
      <v>1</v>
      <v>3</v>
      <v>1</v>
      <v>1</v>
      <v>1</v>
      <v>4</v>
      <v>4</v>
      <v>5</v>
      <v>6</v>
      <v>1</v>
      <v>1</v>
      <v>1</v>
      <v>4</v>
      <v>7</v>
      <v>8</v>
      <v>9</v>
      <v>4</v>
    </spb>
    <spb s="3">
      <v>13</v>
      <v>2</v>
      <v>2</v>
      <v>13</v>
      <v>3</v>
      <v>13</v>
      <v>13</v>
      <v>13</v>
      <v>4</v>
      <v>4</v>
      <v>5</v>
      <v>12</v>
      <v>13</v>
      <v>13</v>
      <v>13</v>
      <v>4</v>
      <v>7</v>
      <v>8</v>
      <v>9</v>
      <v>4</v>
    </spb>
    <spb s="20">
      <v>10</v>
      <v>Name</v>
    </spb>
    <spb s="24">
      <v>1</v>
      <v>1</v>
    </spb>
    <spb s="0">
      <v>11</v>
      <v>Name</v>
      <v>LearnMoreOnLink</v>
    </spb>
    <spb s="25">
      <v>13</v>
      <v>2</v>
      <v>2</v>
      <v>13</v>
      <v>3</v>
      <v>13</v>
      <v>13</v>
      <v>13</v>
      <v>4</v>
      <v>4</v>
      <v>5</v>
      <v>12</v>
      <v>13</v>
      <v>13</v>
      <v>13</v>
      <v>4</v>
      <v>7</v>
      <v>9</v>
      <v>4</v>
    </spb>
    <spb s="20">
      <v>12</v>
      <v>Name</v>
    </spb>
    <spb s="20">
      <v>13</v>
      <v>Name</v>
    </spb>
    <spb s="26">
      <v>1</v>
      <v>1</v>
      <v>3</v>
      <v>1</v>
      <v>1</v>
      <v>1</v>
      <v>5</v>
      <v>1</v>
      <v>1</v>
      <v>1</v>
      <v>7</v>
      <v>9</v>
    </spb>
    <spb s="27">
      <v>GMT</v>
    </spb>
    <spb s="3">
      <v>1</v>
      <v>2</v>
      <v>2</v>
      <v>1</v>
      <v>3</v>
      <v>1</v>
      <v>1</v>
      <v>1</v>
      <v>4</v>
      <v>4</v>
      <v>5</v>
      <v>14</v>
      <v>1</v>
      <v>1</v>
      <v>1</v>
      <v>4</v>
      <v>7</v>
      <v>8</v>
      <v>9</v>
      <v>4</v>
    </spb>
  </spbData>
</supportingPropertyBags>
</file>

<file path=xl/richData/rdsupportingpropertybagstructure.xml><?xml version="1.0" encoding="utf-8"?>
<spbStructures xmlns="http://schemas.microsoft.com/office/spreadsheetml/2017/richdata2" count="2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Change (%)" t="s"/>
    <k n="Last trade time" t="s"/>
  </s>
  <s>
    <k n="Price" t="s"/>
    <k n="Change" t="s"/>
    <k n="Exchange" t="s"/>
    <k n="Change (%)" t="s"/>
    <k n="Last trade time" t="s"/>
  </s>
  <s>
    <k n="Low" t="i"/>
    <k n="High" t="i"/>
    <k n="Name" t="i"/>
    <k n="Open" t="i"/>
    <k n="Price" t="i"/>
    <k n="Change" t="i"/>
    <k n="Change (%)" t="i"/>
    <k n="52 week low" t="i"/>
    <k n="52 week high" t="i"/>
    <k n="Previous close" t="i"/>
    <k n="`%EntityServiceId" t="i"/>
  </s>
  <s>
    <k n="Change" t="s"/>
    <k n="Change (%)" t="s"/>
  </s>
  <s>
    <k n="Low" t="i"/>
    <k n="Beta" t="i"/>
    <k n="High" t="i"/>
    <k n="Name" t="i"/>
    <k n="Open" t="i"/>
    <k n="Price" t="i"/>
    <k n="Change" t="i"/>
    <k n="Volume" t="i"/>
    <k n="Change (%)" t="i"/>
    <k n="Market cap" t="i"/>
    <k n="52 week low" t="i"/>
    <k n="52 week high" t="i"/>
    <k n="Expense ratio" t="i"/>
    <k n="Previous close" t="i"/>
    <k n="Last trade time" t="i"/>
    <k n="`%EntityServiceId" t="i"/>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High" t="i"/>
    <k n="Name" t="i"/>
    <k n="Open" t="i"/>
    <k n="Price" t="i"/>
    <k n="Change" t="i"/>
    <k n="Volume" t="i"/>
    <k n="Change (%)" t="i"/>
    <k n="Market cap" t="i"/>
    <k n="52 week low" t="i"/>
    <k n="52 week high" t="i"/>
    <k n="Expense ratio" t="i"/>
    <k n="Previous close" t="i"/>
    <k n="Volume average" t="i"/>
    <k n="Last trade time" t="i"/>
    <k n="`%EntityServiceId" t="i"/>
  </s>
  <s>
    <k n="^Order" t="spba"/>
    <k n="TitleProperty" t="s"/>
  </s>
  <s>
    <k n="ExchangeID" t="spb"/>
    <k n="UniqueName" t="spb"/>
    <k n="`%ProviderInfo" t="spb"/>
  </s>
  <s>
    <k n="Low" t="i"/>
    <k n="High" t="i"/>
    <k n="Name" t="i"/>
    <k n="Open" t="i"/>
    <k n="Price" t="i"/>
    <k n="Change" t="i"/>
    <k n="Volume" t="i"/>
    <k n="Change (%)" t="i"/>
    <k n="52 week low" t="i"/>
    <k n="52 week high" t="i"/>
    <k n="Previous close" t="i"/>
    <k n="Volume average" t="i"/>
    <k n="Last trade time" t="i"/>
    <k n="`%EntityServiceId"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14" formatCode="0.00%"/>
    </x:dxf>
    <x:dxf>
      <x:numFmt numFmtId="3" formatCode="#,##0"/>
    </x:dxf>
    <x:dxf>
      <x:numFmt numFmtId="27" formatCode="m/d/yyyy\ h:mm"/>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3">
      <rpv i="0">#,##0</rpv>
    </rSty>
    <rSty dxfid="2"/>
    <rSty dxfid="1">
      <rpv i="0">_([$$-en-US]* #,##0_);_([$$-en-US]* (#,##0);_([$$-en-US]* "-"_);_(@_)</rpv>
    </rSty>
    <rSty dxfid="4"/>
    <rSty dxfid="6">
      <rpv i="0">0</rpv>
    </rSty>
    <rSty dxfid="0">
      <rpv i="0">0.00</rpv>
    </rSty>
    <rSty>
      <rpv i="2">1</rpv>
    </rSty>
    <rSty dxfid="1">
      <rpv i="0" xml:space="preserve">_ [$¥-zh-CN]* #,##0_ ;_ [$¥-zh-CN]* -#,##0_ ;_ [$¥-zh-CN]* "-"_ ;_ @_ </rpv>
    </rSty>
    <rSty dxfid="1">
      <rpv i="0">_([$€-x-euro2] * #,##0_);_([$€-x-euro2] * (#,##0);_([$€-x-euro2] * "-"_);_(@_)</rpv>
    </rSty>
    <rSty dxfid="1">
      <rpv i="0">_([$€-x-euro2] * #,##0.00_);_([$€-x-euro2] * (#,##0.00);_([$€-x-euro2] * "-"??_);_(@_)</rpv>
    </rSty>
    <rSty dxfid="1">
      <rpv i="0">_-[$$-en-CA]* #,##0_-;-[$$-en-CA]* #,##0_-;_-[$$-en-CA]* "-"_-;_-@_-</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 dockstate="right" visibility="0" width="438" row="5">
    <wetp:webextensionref xmlns:r="http://schemas.openxmlformats.org/officeDocument/2006/relationships" r:id="rId3"/>
  </wetp:taskpane>
  <wetp:taskpane dockstate="right" visibility="0" width="350" row="2">
    <wetp:webextensionref xmlns:r="http://schemas.openxmlformats.org/officeDocument/2006/relationships" r:id="rId4"/>
  </wetp:taskpane>
</wetp:taskpanes>
</file>

<file path=xl/webextensions/webextension1.xml><?xml version="1.0" encoding="utf-8"?>
<we:webextension xmlns:we="http://schemas.microsoft.com/office/webextensions/webextension/2010/11" id="{E4BC651E-628A-492F-AC76-5D4FEC7A8C81}">
  <we:reference id="wa104380801" version="1.5.0.0" store="en-US" storeType="OMEX"/>
  <we:alternateReferences>
    <we:reference id="wa104380801" version="1.5.0.0" store="WA104380801"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F14BCB2A-4949-4B85-B6CA-ECFB22F715E7}">
  <we:reference id="WA200009404" version="1.0.0.8" store="Omex" storeType="OMEX"/>
  <we:alternateReferences>
    <we:reference id="WA200009404" version="1.0.0.8" store="WA200009404" storeType="OMEX"/>
  </we:alternateReferences>
  <we:properties>
    <we:property name="claude.fileId" value="&quot;b7e349a8-e05c-4caf-8463-43d0fab3890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726B93C0-700B-4B4D-BEC3-0AC467AFBE6F}">
  <we:reference id="wa200010215" version="1.0.0.0" store="en-US" storeType="OMEX"/>
  <we:alternateReferences>
    <we:reference id="WA200010215" version="1.0.0.0" store="WA200010215" storeType="OMEX"/>
  </we:alternateReferences>
  <we:properties>
    <we:property name="bps.codex_control.document_id" value="&quot;961e64c2-0121-4612-9184-da9dde7962a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4.xml><?xml version="1.0" encoding="utf-8"?>
<we:webextension xmlns:we="http://schemas.microsoft.com/office/webextensions/webextension/2010/11" id="{CE8A2391-D1EA-473A-9CB9-4EFA9E6DF8BA}">
  <we:reference id="WA104379220" version="8.0.0.0" store="Omex" storeType="OMEX"/>
  <we:alternateReferences>
    <we:reference id="WA104379220" version="8.0.0.0" store="WA104379220" storeType="OMEX"/>
  </we:alternateReferences>
  <we:properties>
    <we:property name="Office.AutoShowTaskpaneWithDocument" value="true"/>
    <we:property name="stocksChange" value="{}"/>
    <we:property name="stocks" value="{}"/>
    <we:property name="stocksOrder" value="[]"/>
    <we:property name="updateIntervalIndex" value="2"/>
    <we:property name="stocksSources" value="{}"/>
    <we:property name="lastCryptoCompare" value="0"/>
    <we:property name="lastIexCall" value="0"/>
    <we:property name="lastMutualFundsCall" value="0"/>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9F98-A130-4ECF-A54B-A2740FFA296C}">
  <sheetPr>
    <pageSetUpPr fitToPage="1"/>
  </sheetPr>
  <dimension ref="B1:K40"/>
  <sheetViews>
    <sheetView showGridLines="0" topLeftCell="B1" zoomScale="82" zoomScaleNormal="82" workbookViewId="0">
      <selection activeCell="H9" sqref="H9"/>
    </sheetView>
  </sheetViews>
  <sheetFormatPr defaultColWidth="9.28515625" defaultRowHeight="14.25" x14ac:dyDescent="0.2"/>
  <cols>
    <col min="1" max="1" width="2.5703125" style="11" customWidth="1"/>
    <col min="2" max="2" width="49" style="11" bestFit="1" customWidth="1"/>
    <col min="3" max="3" width="19" style="12" customWidth="1"/>
    <col min="4" max="4" width="22.5703125" style="12" customWidth="1"/>
    <col min="5" max="5" width="11.28515625" style="11" bestFit="1" customWidth="1"/>
    <col min="6" max="6" width="20.42578125" style="12" bestFit="1" customWidth="1"/>
    <col min="7" max="7" width="19.5703125" style="12" bestFit="1" customWidth="1"/>
    <col min="8" max="8" width="20.7109375" style="31" bestFit="1" customWidth="1"/>
    <col min="9" max="9" width="19.5703125" style="31" bestFit="1" customWidth="1"/>
    <col min="10" max="10" width="13" style="31" bestFit="1" customWidth="1"/>
    <col min="11" max="11" width="2.7109375" style="11" bestFit="1" customWidth="1"/>
    <col min="12" max="14" width="9.28515625" style="11"/>
    <col min="15" max="15" width="9.7109375" style="11" bestFit="1" customWidth="1"/>
    <col min="16" max="16" width="9.28515625" style="11"/>
    <col min="17" max="17" width="12.5703125" style="11" bestFit="1" customWidth="1"/>
    <col min="18" max="18" width="9.28515625" style="11"/>
    <col min="19" max="19" width="14" style="11" bestFit="1" customWidth="1"/>
    <col min="20" max="20" width="15.5703125" style="11" bestFit="1" customWidth="1"/>
    <col min="21" max="21" width="14.5703125" style="11" bestFit="1" customWidth="1"/>
    <col min="22" max="16384" width="9.28515625" style="11"/>
  </cols>
  <sheetData>
    <row r="1" spans="2:10" ht="15" thickBot="1" x14ac:dyDescent="0.25">
      <c r="B1" s="63">
        <f ca="1">TODAY()</f>
        <v>46241</v>
      </c>
      <c r="C1" s="64"/>
      <c r="D1" s="64"/>
      <c r="E1" s="66"/>
      <c r="F1" s="66"/>
      <c r="G1" s="66"/>
      <c r="H1" s="11"/>
      <c r="I1" s="11"/>
      <c r="J1" s="11"/>
    </row>
    <row r="2" spans="2:10" ht="15" thickBot="1" x14ac:dyDescent="0.25">
      <c r="B2" s="67" t="s">
        <v>0</v>
      </c>
      <c r="C2" s="68" t="s">
        <v>1</v>
      </c>
      <c r="D2" s="68" t="s">
        <v>2</v>
      </c>
      <c r="G2" s="90" t="s">
        <v>3</v>
      </c>
      <c r="H2" s="91" t="s">
        <v>4</v>
      </c>
      <c r="I2" s="11"/>
      <c r="J2" s="11"/>
    </row>
    <row r="3" spans="2:10" ht="15" thickBot="1" x14ac:dyDescent="0.25">
      <c r="B3" s="70" t="s">
        <v>391</v>
      </c>
      <c r="C3" s="71" t="e">
        <f ca="1">'Portfolio Snapshot'!E24</f>
        <v>#DIV/0!</v>
      </c>
      <c r="D3" s="71">
        <f ca="1">INDEX(NAV!I:I,MATCH(Dashboard!G3,NAV!B:B,0))</f>
        <v>0</v>
      </c>
      <c r="G3" s="92">
        <f ca="1">B1-1</f>
        <v>46240</v>
      </c>
      <c r="H3" s="93">
        <f ca="1">INDEX(NAV!G:G,MATCH(Dashboard!G3,NAV!B:B,0))</f>
        <v>0</v>
      </c>
      <c r="I3" s="11"/>
      <c r="J3" s="11"/>
    </row>
    <row r="4" spans="2:10" ht="15" thickBot="1" x14ac:dyDescent="0.25">
      <c r="B4" s="73" t="s">
        <v>5</v>
      </c>
      <c r="C4" s="74">
        <f>'Daily Change'!E38</f>
        <v>-2.4862538847717497E-3</v>
      </c>
      <c r="D4" s="74">
        <f ca="1">INDEX(NAV!L:L,MATCH(Dashboard!G3,NAV!B:B,0))</f>
        <v>0</v>
      </c>
      <c r="E4" s="12"/>
      <c r="G4" s="11"/>
      <c r="H4" s="11"/>
      <c r="I4" s="11"/>
      <c r="J4" s="11"/>
    </row>
    <row r="5" spans="2:10" ht="15" thickBot="1" x14ac:dyDescent="0.25">
      <c r="B5" s="10"/>
      <c r="C5" s="65"/>
      <c r="D5" s="65"/>
      <c r="E5" s="65"/>
      <c r="F5" s="65"/>
      <c r="G5" s="66"/>
      <c r="H5" s="66"/>
      <c r="I5" s="75"/>
      <c r="J5" s="75"/>
    </row>
    <row r="6" spans="2:10" ht="15" thickBot="1" x14ac:dyDescent="0.25">
      <c r="B6" s="76" t="s">
        <v>6</v>
      </c>
      <c r="C6" s="77" t="s">
        <v>1</v>
      </c>
      <c r="D6" s="77" t="s">
        <v>7</v>
      </c>
      <c r="E6" s="78" t="s">
        <v>8</v>
      </c>
      <c r="F6" s="77" t="s">
        <v>9</v>
      </c>
      <c r="G6" s="77" t="s">
        <v>10</v>
      </c>
      <c r="H6" s="79" t="s">
        <v>11</v>
      </c>
      <c r="I6" s="79" t="s">
        <v>12</v>
      </c>
      <c r="J6" s="103" t="s">
        <v>13</v>
      </c>
    </row>
    <row r="7" spans="2:10" x14ac:dyDescent="0.2">
      <c r="B7" s="80" t="s">
        <v>14</v>
      </c>
      <c r="C7" s="81"/>
      <c r="D7" s="81"/>
      <c r="E7" s="10"/>
      <c r="F7" s="69"/>
      <c r="G7" s="69"/>
      <c r="H7" s="100"/>
      <c r="I7" s="100"/>
      <c r="J7" s="104"/>
    </row>
    <row r="8" spans="2:10" x14ac:dyDescent="0.2">
      <c r="B8" s="82" t="s">
        <v>15</v>
      </c>
      <c r="C8" s="83">
        <f>IFERROR(VLOOKUP(B8,'Portfolio Allocation'!A:J,10,FALSE),"")</f>
        <v>0</v>
      </c>
      <c r="D8" s="83">
        <f>IFERROR(VLOOKUP(B8,'Portfolio Allocation'!A:L,11,FALSE)," ")</f>
        <v>0.10526090223014688</v>
      </c>
      <c r="E8" s="10" t="str">
        <f>VLOOKUP(B8,'Portfolio Allocation'!A:H,3,FALSE)</f>
        <v>Overweight</v>
      </c>
      <c r="F8" s="69">
        <f>VLOOKUP(B8,'Portfolio Allocation'!A:D,4,FALSE)</f>
        <v>7.0000000000000007E-2</v>
      </c>
      <c r="G8" s="69">
        <f>VLOOKUP(B8,'Portfolio Allocation'!A:E,5,FALSE)</f>
        <v>0.17717760000000002</v>
      </c>
      <c r="H8" s="100">
        <f>VLOOKUP(B8,'Portfolio Allocation'!A:G,6,FALSE)</f>
        <v>52499.610800000002</v>
      </c>
      <c r="I8" s="100">
        <f>VLOOKUP(B8,'Portfolio Allocation'!A:G,7,FALSE)</f>
        <v>132883.20000000001</v>
      </c>
      <c r="J8" s="104">
        <f t="shared" ref="J8:J13" si="0">I8-H8</f>
        <v>80383.589200000017</v>
      </c>
    </row>
    <row r="9" spans="2:10" x14ac:dyDescent="0.2">
      <c r="B9" s="82" t="s">
        <v>16</v>
      </c>
      <c r="C9" s="83">
        <f>IFERROR(VLOOKUP(B9,'Portfolio Allocation'!A:J,10,FALSE),"")</f>
        <v>-2.7679807134247669E-3</v>
      </c>
      <c r="D9" s="83">
        <f>IFERROR(VLOOKUP(B9,'Portfolio Allocation'!A:L,11,FALSE)," ")</f>
        <v>0.38144604049233299</v>
      </c>
      <c r="E9" s="10" t="str">
        <f>VLOOKUP(B9,'Portfolio Allocation'!A:H,3,FALSE)</f>
        <v>Underweight</v>
      </c>
      <c r="F9" s="69">
        <f>VLOOKUP(B9,'Portfolio Allocation'!A:D,4,FALSE)</f>
        <v>7.0000000000000007E-2</v>
      </c>
      <c r="G9" s="69">
        <f>VLOOKUP(B9,'Portfolio Allocation'!A:E,5,FALSE)</f>
        <v>5.5097933333333342E-2</v>
      </c>
      <c r="H9" s="100">
        <f>VLOOKUP(B9,'Portfolio Allocation'!A:G,6,FALSE)</f>
        <v>52499.610800000002</v>
      </c>
      <c r="I9" s="100">
        <f>VLOOKUP(B9,'Portfolio Allocation'!A:G,7,FALSE)</f>
        <v>41323.450000000004</v>
      </c>
      <c r="J9" s="104">
        <f t="shared" si="0"/>
        <v>-11176.160799999998</v>
      </c>
    </row>
    <row r="10" spans="2:10" x14ac:dyDescent="0.2">
      <c r="B10" s="82" t="s">
        <v>17</v>
      </c>
      <c r="C10" s="83">
        <f>IFERROR(VLOOKUP(B10,'Portfolio Allocation'!A:J,10,FALSE),"")</f>
        <v>2.5437984655151347E-2</v>
      </c>
      <c r="D10" s="83">
        <f>IFERROR(VLOOKUP(B10,'Portfolio Allocation'!A:L,11,FALSE)," ")</f>
        <v>0.23186440222773522</v>
      </c>
      <c r="E10" s="10" t="str">
        <f>VLOOKUP(B10,'Portfolio Allocation'!A:H,3,FALSE)</f>
        <v>Underweight</v>
      </c>
      <c r="F10" s="69">
        <f>VLOOKUP(B10,'Portfolio Allocation'!A:D,4,FALSE)</f>
        <v>0.06</v>
      </c>
      <c r="G10" s="69">
        <f>VLOOKUP(B10,'Portfolio Allocation'!A:E,5,FALSE)</f>
        <v>1.466256E-2</v>
      </c>
      <c r="H10" s="100">
        <f>VLOOKUP(B10,'Portfolio Allocation'!A:G,6,FALSE)</f>
        <v>44999.666399999995</v>
      </c>
      <c r="I10" s="100">
        <f>VLOOKUP(B10,'Portfolio Allocation'!A:G,7,FALSE)</f>
        <v>10996.92</v>
      </c>
      <c r="J10" s="104">
        <f t="shared" si="0"/>
        <v>-34002.746399999996</v>
      </c>
    </row>
    <row r="11" spans="2:10" x14ac:dyDescent="0.2">
      <c r="B11" s="82" t="s">
        <v>18</v>
      </c>
      <c r="C11" s="83">
        <f>IFERROR(VLOOKUP(B11,'Portfolio Allocation'!A:J,10,FALSE),"")</f>
        <v>0</v>
      </c>
      <c r="D11" s="83">
        <f>IFERROR(VLOOKUP(B11,'Portfolio Allocation'!A:L,11,FALSE)," ")</f>
        <v>0.29115424139750523</v>
      </c>
      <c r="E11" s="10" t="str">
        <f>VLOOKUP(B11,'Portfolio Allocation'!A:H,3,FALSE)</f>
        <v>Underweight</v>
      </c>
      <c r="F11" s="69">
        <f>VLOOKUP(B11,'Portfolio Allocation'!A:D,4,FALSE)</f>
        <v>7.0000000000000007E-2</v>
      </c>
      <c r="G11" s="69">
        <f>VLOOKUP(B11,'Portfolio Allocation'!A:E,5,FALSE)</f>
        <v>1.80424E-2</v>
      </c>
      <c r="H11" s="100">
        <f>VLOOKUP(B11,'Portfolio Allocation'!A:G,6,FALSE)</f>
        <v>52499.610800000002</v>
      </c>
      <c r="I11" s="100">
        <f>VLOOKUP(B11,'Portfolio Allocation'!A:G,7,FALSE)</f>
        <v>13531.8</v>
      </c>
      <c r="J11" s="104">
        <f t="shared" si="0"/>
        <v>-38967.810800000007</v>
      </c>
    </row>
    <row r="12" spans="2:10" x14ac:dyDescent="0.2">
      <c r="B12" s="82" t="s">
        <v>19</v>
      </c>
      <c r="C12" s="83">
        <f>IFERROR(VLOOKUP(B12,'Portfolio Allocation'!A:J,10,FALSE),"")</f>
        <v>-1.0491743454064117E-3</v>
      </c>
      <c r="D12" s="83">
        <f>IFERROR(VLOOKUP(B12,'Portfolio Allocation'!A:L,11,FALSE)," ")</f>
        <v>0.56557854865214197</v>
      </c>
      <c r="E12" s="10" t="str">
        <f>VLOOKUP(B12,'Portfolio Allocation'!A:H,3,FALSE)</f>
        <v>Underweight</v>
      </c>
      <c r="F12" s="69">
        <f>VLOOKUP(B12,'Portfolio Allocation'!A:D,4,FALSE)</f>
        <v>0.06</v>
      </c>
      <c r="G12" s="69">
        <f>VLOOKUP(B12,'Portfolio Allocation'!A:E,5,FALSE)</f>
        <v>2.4526880000000001E-2</v>
      </c>
      <c r="H12" s="100">
        <f>VLOOKUP(B12,'Portfolio Allocation'!A:G,6,FALSE)</f>
        <v>44999.666399999995</v>
      </c>
      <c r="I12" s="100">
        <f>VLOOKUP(B12,'Portfolio Allocation'!A:G,7,FALSE)</f>
        <v>18395.16</v>
      </c>
      <c r="J12" s="104">
        <f t="shared" si="0"/>
        <v>-26604.506399999995</v>
      </c>
    </row>
    <row r="13" spans="2:10" ht="15" thickBot="1" x14ac:dyDescent="0.25">
      <c r="B13" s="84"/>
      <c r="C13" s="87"/>
      <c r="D13" s="87"/>
      <c r="E13" s="85"/>
      <c r="F13" s="86">
        <f>SUM(F8:F11)</f>
        <v>0.27</v>
      </c>
      <c r="G13" s="86">
        <f>SUM(G8:G11)</f>
        <v>0.26498049333333334</v>
      </c>
      <c r="H13" s="101">
        <f>SUM(H8:H11)</f>
        <v>202498.4988</v>
      </c>
      <c r="I13" s="101">
        <f>SUM(I8:I12)</f>
        <v>217130.53000000003</v>
      </c>
      <c r="J13" s="105">
        <f t="shared" si="0"/>
        <v>14632.031200000027</v>
      </c>
    </row>
    <row r="14" spans="2:10" x14ac:dyDescent="0.2">
      <c r="B14" s="80" t="s">
        <v>20</v>
      </c>
      <c r="C14" s="81"/>
      <c r="D14" s="81"/>
      <c r="E14" s="10"/>
      <c r="F14" s="69"/>
      <c r="G14" s="69"/>
      <c r="H14" s="100"/>
      <c r="I14" s="100"/>
      <c r="J14" s="104"/>
    </row>
    <row r="15" spans="2:10" x14ac:dyDescent="0.2">
      <c r="B15" s="82" t="s">
        <v>21</v>
      </c>
      <c r="C15" s="83">
        <f>IFERROR(VLOOKUP(B15,'Portfolio Allocation'!A:J,10,FALSE),"")</f>
        <v>0</v>
      </c>
      <c r="D15" s="83">
        <f>IFERROR(VLOOKUP(B15,'Portfolio Allocation'!A:L,11,FALSE)," ")</f>
        <v>0.36090985337119968</v>
      </c>
      <c r="E15" s="10" t="str">
        <f>VLOOKUP(B15,'Portfolio Allocation'!A:H,3,FALSE)</f>
        <v>Underweight</v>
      </c>
      <c r="F15" s="69">
        <f>VLOOKUP(B15,'Portfolio Allocation'!A:D,4,FALSE)</f>
        <v>7.0000000000000007E-2</v>
      </c>
      <c r="G15" s="69">
        <f>VLOOKUP(B15,'Portfolio Allocation'!A:E,5,FALSE)</f>
        <v>6.8057426666666657E-2</v>
      </c>
      <c r="H15" s="100">
        <f>VLOOKUP(B15,'Portfolio Allocation'!A:G,6,FALSE)</f>
        <v>52499.610800000002</v>
      </c>
      <c r="I15" s="100">
        <f>VLOOKUP(B15,'Portfolio Allocation'!A:G,7,FALSE)</f>
        <v>51043.069999999992</v>
      </c>
      <c r="J15" s="104">
        <f>I15-H15</f>
        <v>-1456.5408000000098</v>
      </c>
    </row>
    <row r="16" spans="2:10" ht="15" thickBot="1" x14ac:dyDescent="0.25">
      <c r="B16" s="84"/>
      <c r="C16" s="87"/>
      <c r="D16" s="87"/>
      <c r="E16" s="85"/>
      <c r="F16" s="86">
        <f>SUM(F15:F15)</f>
        <v>7.0000000000000007E-2</v>
      </c>
      <c r="G16" s="86">
        <f>SUM(G15:G15)</f>
        <v>6.8057426666666657E-2</v>
      </c>
      <c r="H16" s="101">
        <f>SUM(H15:H15)</f>
        <v>52499.610800000002</v>
      </c>
      <c r="I16" s="101">
        <f>SUM(I15:I15)</f>
        <v>51043.069999999992</v>
      </c>
      <c r="J16" s="105">
        <f>I16-H16</f>
        <v>-1456.5408000000098</v>
      </c>
    </row>
    <row r="17" spans="2:10" x14ac:dyDescent="0.2">
      <c r="B17" s="80" t="s">
        <v>22</v>
      </c>
      <c r="C17" s="81"/>
      <c r="D17" s="81"/>
      <c r="E17" s="10"/>
      <c r="F17" s="69"/>
      <c r="G17" s="69"/>
      <c r="H17" s="100"/>
      <c r="I17" s="100"/>
      <c r="J17" s="104"/>
    </row>
    <row r="18" spans="2:10" x14ac:dyDescent="0.2">
      <c r="B18" s="82" t="s">
        <v>23</v>
      </c>
      <c r="C18" s="83">
        <f>IFERROR(VLOOKUP(B18,'Portfolio Allocation'!A:J,10,FALSE),"")</f>
        <v>1.6992353440947738E-4</v>
      </c>
      <c r="D18" s="83">
        <f>IFERROR(VLOOKUP(B18,'Portfolio Allocation'!A:L,11,FALSE)," ")</f>
        <v>3.2998883202134876E-3</v>
      </c>
      <c r="E18" s="10" t="str">
        <f>VLOOKUP(B18,'Portfolio Allocation'!A:H,3,FALSE)</f>
        <v>Overweight</v>
      </c>
      <c r="F18" s="69">
        <f>VLOOKUP(B18,'Portfolio Allocation'!A:D,4,FALSE)</f>
        <v>0.03</v>
      </c>
      <c r="G18" s="69">
        <f>VLOOKUP(B18,'Portfolio Allocation'!A:E,5,FALSE)</f>
        <v>0.3814128</v>
      </c>
      <c r="H18" s="100">
        <f>VLOOKUP(B18,'Portfolio Allocation'!A:G,6,FALSE)</f>
        <v>22499.833199999997</v>
      </c>
      <c r="I18" s="100">
        <f>VLOOKUP(B18,'Portfolio Allocation'!A:G,7,FALSE)</f>
        <v>286059.59999999998</v>
      </c>
      <c r="J18" s="104">
        <f>I18-H18</f>
        <v>263559.76679999998</v>
      </c>
    </row>
    <row r="19" spans="2:10" ht="15" thickBot="1" x14ac:dyDescent="0.25">
      <c r="B19" s="84"/>
      <c r="C19" s="87"/>
      <c r="D19" s="87"/>
      <c r="E19" s="85"/>
      <c r="F19" s="86">
        <f>SUM(F18:F18)</f>
        <v>0.03</v>
      </c>
      <c r="G19" s="86">
        <f>SUM(G18:G18)</f>
        <v>0.3814128</v>
      </c>
      <c r="H19" s="101">
        <f>SUM(H18:H18)</f>
        <v>22499.833199999997</v>
      </c>
      <c r="I19" s="101">
        <f>SUM(I18:I18)</f>
        <v>286059.59999999998</v>
      </c>
      <c r="J19" s="105">
        <f>I19-H19</f>
        <v>263559.76679999998</v>
      </c>
    </row>
    <row r="20" spans="2:10" x14ac:dyDescent="0.2">
      <c r="B20" s="80" t="s">
        <v>24</v>
      </c>
      <c r="C20" s="81"/>
      <c r="D20" s="81"/>
      <c r="E20" s="10"/>
      <c r="F20" s="69"/>
      <c r="G20" s="69"/>
      <c r="H20" s="100"/>
      <c r="I20" s="100"/>
      <c r="J20" s="104"/>
    </row>
    <row r="21" spans="2:10" x14ac:dyDescent="0.2">
      <c r="B21" s="82" t="s">
        <v>25</v>
      </c>
      <c r="C21" s="83">
        <f>IFERROR(VLOOKUP(B21,'Portfolio Allocation'!A:J,10,FALSE),"")</f>
        <v>0</v>
      </c>
      <c r="D21" s="83">
        <f>IFERROR(VLOOKUP(B21,'Portfolio Allocation'!A:L,11,FALSE)," ")</f>
        <v>-0.57765378229138509</v>
      </c>
      <c r="E21" s="10" t="str">
        <f>VLOOKUP(B21,'Portfolio Allocation'!A:H,3,FALSE)</f>
        <v>Underweight</v>
      </c>
      <c r="F21" s="69">
        <f>VLOOKUP(B21,'Portfolio Allocation'!A:D,4,FALSE)</f>
        <v>0.03</v>
      </c>
      <c r="G21" s="69">
        <f>VLOOKUP(B21,'Portfolio Allocation'!A:E,5,FALSE)</f>
        <v>1.7500000000000002E-2</v>
      </c>
      <c r="H21" s="100">
        <f>VLOOKUP(B21,'Portfolio Allocation'!A:G,6,FALSE)</f>
        <v>22499.833199999997</v>
      </c>
      <c r="I21" s="100">
        <f>VLOOKUP(B21,'Portfolio Allocation'!A:G,7,FALSE)</f>
        <v>13125</v>
      </c>
      <c r="J21" s="104">
        <f t="shared" ref="J21:J22" si="1">I21-H21</f>
        <v>-9374.8331999999973</v>
      </c>
    </row>
    <row r="22" spans="2:10" x14ac:dyDescent="0.2">
      <c r="B22" s="82" t="s">
        <v>26</v>
      </c>
      <c r="C22" s="83">
        <f>IFERROR(VLOOKUP(B22,'Portfolio Allocation'!A:J,10,FALSE),"")</f>
        <v>9.5275903136165185E-2</v>
      </c>
      <c r="D22" s="83">
        <f>IFERROR(VLOOKUP(B22,'Portfolio Allocation'!A:L,11,FALSE)," ")</f>
        <v>-0.61062110097742239</v>
      </c>
      <c r="E22" s="10" t="str">
        <f>VLOOKUP(B22,'Portfolio Allocation'!A:H,3,FALSE)</f>
        <v>Underweight</v>
      </c>
      <c r="F22" s="69">
        <f>VLOOKUP(B22,'Portfolio Allocation'!A:D,4,FALSE)</f>
        <v>0.03</v>
      </c>
      <c r="G22" s="69">
        <f>VLOOKUP(B22,'Portfolio Allocation'!A:E,5,FALSE)</f>
        <v>2.2072000000000001E-2</v>
      </c>
      <c r="H22" s="100">
        <f>VLOOKUP(B22,'Portfolio Allocation'!A:G,6,FALSE)</f>
        <v>22499.833199999997</v>
      </c>
      <c r="I22" s="100">
        <f>VLOOKUP(B22,'Portfolio Allocation'!A:G,7,FALSE)</f>
        <v>16554</v>
      </c>
      <c r="J22" s="104">
        <f t="shared" si="1"/>
        <v>-5945.8331999999973</v>
      </c>
    </row>
    <row r="23" spans="2:10" x14ac:dyDescent="0.2">
      <c r="B23" s="82" t="s">
        <v>27</v>
      </c>
      <c r="C23" s="83">
        <f>IFERROR(VLOOKUP(B23,'Portfolio Allocation'!A:J,10,FALSE),"")</f>
        <v>1.8463138733584739E-2</v>
      </c>
      <c r="D23" s="83">
        <f>IFERROR(VLOOKUP(B23,'Portfolio Allocation'!A:L,11,FALSE)," ")</f>
        <v>-0.22954098360655734</v>
      </c>
      <c r="E23" s="10" t="str">
        <f>VLOOKUP(B23,'Portfolio Allocation'!A:H,3,FALSE)</f>
        <v>Underweight</v>
      </c>
      <c r="F23" s="69">
        <f>VLOOKUP(B23,'Portfolio Allocation'!A:D,4,FALSE)</f>
        <v>0.03</v>
      </c>
      <c r="G23" s="69">
        <f>VLOOKUP(B23,'Portfolio Allocation'!A:E,5,FALSE)</f>
        <v>2.50656E-2</v>
      </c>
      <c r="H23" s="100">
        <f>VLOOKUP(B23,'Portfolio Allocation'!A:G,6,FALSE)</f>
        <v>22499.833199999997</v>
      </c>
      <c r="I23" s="100">
        <f>VLOOKUP(B23,'Portfolio Allocation'!A:G,7,FALSE)</f>
        <v>18799.2</v>
      </c>
      <c r="J23" s="104">
        <f t="shared" ref="J23" si="2">I23-H23</f>
        <v>-3700.6331999999966</v>
      </c>
    </row>
    <row r="24" spans="2:10" ht="15" thickBot="1" x14ac:dyDescent="0.25">
      <c r="B24" s="84"/>
      <c r="C24" s="87"/>
      <c r="D24" s="87"/>
      <c r="E24" s="85"/>
      <c r="F24" s="86">
        <f>SUM(F21:F23)</f>
        <v>0.09</v>
      </c>
      <c r="G24" s="86">
        <f>SUM(G21:G23)</f>
        <v>6.4637600000000003E-2</v>
      </c>
      <c r="H24" s="101">
        <f>SUM(H21:H23)</f>
        <v>67499.499599999996</v>
      </c>
      <c r="I24" s="101">
        <f>SUM(I21:I23)</f>
        <v>48478.2</v>
      </c>
      <c r="J24" s="105">
        <f>I24-H24</f>
        <v>-19021.299599999998</v>
      </c>
    </row>
    <row r="25" spans="2:10" x14ac:dyDescent="0.2">
      <c r="B25" s="80" t="s">
        <v>28</v>
      </c>
      <c r="C25" s="81"/>
      <c r="D25" s="81"/>
      <c r="E25" s="10"/>
      <c r="F25" s="69"/>
      <c r="G25" s="69"/>
      <c r="H25" s="100"/>
      <c r="I25" s="100"/>
      <c r="J25" s="104"/>
    </row>
    <row r="26" spans="2:10" x14ac:dyDescent="0.2">
      <c r="B26" s="82"/>
      <c r="C26" s="83"/>
      <c r="D26" s="83"/>
      <c r="E26" s="10"/>
      <c r="F26" s="69"/>
      <c r="G26" s="69"/>
      <c r="H26" s="100"/>
      <c r="I26" s="100"/>
      <c r="J26" s="104"/>
    </row>
    <row r="27" spans="2:10" x14ac:dyDescent="0.2">
      <c r="B27" s="82" t="s">
        <v>29</v>
      </c>
      <c r="C27" s="83">
        <f>IFERROR(VLOOKUP(B27,'Portfolio Allocation'!A:J,10,FALSE),"")</f>
        <v>-8.1839438815276555E-3</v>
      </c>
      <c r="D27" s="83">
        <f>IFERROR(VLOOKUP(B27,'Portfolio Allocation'!A:L,11,FALSE)," ")</f>
        <v>0.27057019546700417</v>
      </c>
      <c r="E27" s="10" t="str">
        <f>VLOOKUP(B27,'Portfolio Allocation'!A:H,3,FALSE)</f>
        <v>Underweight</v>
      </c>
      <c r="F27" s="69">
        <f>VLOOKUP(B27,'Portfolio Allocation'!A:D,4,FALSE)</f>
        <v>0.02</v>
      </c>
      <c r="G27" s="69">
        <f>VLOOKUP(B27,'Portfolio Allocation'!A:E,5,FALSE)</f>
        <v>1.71024E-2</v>
      </c>
      <c r="H27" s="100">
        <f>VLOOKUP(B27,'Portfolio Allocation'!A:G,6,FALSE)</f>
        <v>14999.888799999999</v>
      </c>
      <c r="I27" s="100">
        <f>VLOOKUP(B27,'Portfolio Allocation'!A:G,7,FALSE)</f>
        <v>12826.800000000001</v>
      </c>
      <c r="J27" s="104">
        <f t="shared" ref="J27:J32" si="3">I27-H27</f>
        <v>-2173.0887999999977</v>
      </c>
    </row>
    <row r="28" spans="2:10" x14ac:dyDescent="0.2">
      <c r="B28" s="82" t="s">
        <v>30</v>
      </c>
      <c r="C28" s="83">
        <f>IFERROR(VLOOKUP(B28,'Portfolio Allocation'!A:J,10,FALSE),"")</f>
        <v>2.4485092899322325E-3</v>
      </c>
      <c r="D28" s="83">
        <f>IFERROR(VLOOKUP(B28,'Portfolio Allocation'!A:L,11,FALSE)," ")</f>
        <v>-6.5602974208039649E-2</v>
      </c>
      <c r="E28" s="10" t="str">
        <f>VLOOKUP(B28,'Portfolio Allocation'!A:H,3,FALSE)</f>
        <v>Overweight</v>
      </c>
      <c r="F28" s="69">
        <f>VLOOKUP(B28,'Portfolio Allocation'!A:D,4,FALSE)</f>
        <v>0.03</v>
      </c>
      <c r="G28" s="69">
        <f>VLOOKUP(B28,'Portfolio Allocation'!A:E,5,FALSE)</f>
        <v>4.8256E-2</v>
      </c>
      <c r="H28" s="100">
        <f>VLOOKUP(B28,'Portfolio Allocation'!A:G,6,FALSE)</f>
        <v>22499.833199999997</v>
      </c>
      <c r="I28" s="100">
        <f>VLOOKUP(B28,'Portfolio Allocation'!A:G,7,FALSE)</f>
        <v>36192</v>
      </c>
      <c r="J28" s="104">
        <f t="shared" ref="J28" si="4">I28-H28</f>
        <v>13692.166800000003</v>
      </c>
    </row>
    <row r="29" spans="2:10" x14ac:dyDescent="0.2">
      <c r="B29" s="82" t="s">
        <v>31</v>
      </c>
      <c r="C29" s="83">
        <f>IFERROR(VLOOKUP(B29,'Portfolio Allocation'!A:J,10,FALSE),"")</f>
        <v>-1.4304052814964052E-3</v>
      </c>
      <c r="D29" s="83">
        <f>IFERROR(VLOOKUP(B29,'Portfolio Allocation'!A:L,11,FALSE)," ")</f>
        <v>0.2649236593595935</v>
      </c>
      <c r="E29" s="10" t="str">
        <f>VLOOKUP(B29,'Portfolio Allocation'!A:H,3,FALSE)</f>
        <v>Overweight</v>
      </c>
      <c r="F29" s="69">
        <f>VLOOKUP(B29,'Portfolio Allocation'!A:D,4,FALSE)</f>
        <v>0.02</v>
      </c>
      <c r="G29" s="69">
        <f>VLOOKUP(B29,'Portfolio Allocation'!A:E,5,FALSE)</f>
        <v>2.5410933333333333E-2</v>
      </c>
      <c r="H29" s="100">
        <f>VLOOKUP(B29,'Portfolio Allocation'!A:G,6,FALSE)</f>
        <v>14999.888799999999</v>
      </c>
      <c r="I29" s="100">
        <f>VLOOKUP(B29,'Portfolio Allocation'!A:G,7,FALSE)</f>
        <v>19058.2</v>
      </c>
      <c r="J29" s="104">
        <f t="shared" si="3"/>
        <v>4058.3112000000019</v>
      </c>
    </row>
    <row r="30" spans="2:10" x14ac:dyDescent="0.2">
      <c r="B30" s="82" t="s">
        <v>32</v>
      </c>
      <c r="C30" s="83">
        <f>IFERROR(VLOOKUP(B30,'Portfolio Allocation'!A:J,10,FALSE),"")</f>
        <v>-7.19773554387384E-2</v>
      </c>
      <c r="D30" s="83">
        <f>IFERROR(VLOOKUP(B30,'Portfolio Allocation'!A:L,11,FALSE)," ")</f>
        <v>3.4329449023508873E-2</v>
      </c>
      <c r="E30" s="10" t="str">
        <f>VLOOKUP(B30,'Portfolio Allocation'!A:H,3,FALSE)</f>
        <v>Overweight</v>
      </c>
      <c r="F30" s="69">
        <f>VLOOKUP(B30,'Portfolio Allocation'!A:D,4,FALSE)</f>
        <v>0.03</v>
      </c>
      <c r="G30" s="69">
        <f>VLOOKUP(B30,'Portfolio Allocation'!A:E,5,FALSE)</f>
        <v>6.7932000000000006E-2</v>
      </c>
      <c r="H30" s="100">
        <f>VLOOKUP(B30,'Portfolio Allocation'!A:G,6,FALSE)</f>
        <v>22499.833199999997</v>
      </c>
      <c r="I30" s="100">
        <f>VLOOKUP(B30,'Portfolio Allocation'!A:G,7,FALSE)</f>
        <v>50949</v>
      </c>
      <c r="J30" s="104">
        <f t="shared" si="3"/>
        <v>28449.166800000003</v>
      </c>
    </row>
    <row r="31" spans="2:10" x14ac:dyDescent="0.2">
      <c r="B31" s="82" t="s">
        <v>33</v>
      </c>
      <c r="C31" s="83">
        <f>IFERROR(VLOOKUP(B31,'Portfolio Allocation'!A:J,10,FALSE),"")</f>
        <v>-1.2401242570261428E-2</v>
      </c>
      <c r="D31" s="83">
        <f>IFERROR(VLOOKUP(B31,'Portfolio Allocation'!A:L,11,FALSE)," ")</f>
        <v>-0.25653827013038721</v>
      </c>
      <c r="E31" s="10" t="str">
        <f>VLOOKUP(B31,'Portfolio Allocation'!A:H,3,FALSE)</f>
        <v>Underweight</v>
      </c>
      <c r="F31" s="69">
        <f>VLOOKUP(B31,'Portfolio Allocation'!A:D,4,FALSE)</f>
        <v>0.03</v>
      </c>
      <c r="G31" s="69">
        <f>VLOOKUP(B31,'Portfolio Allocation'!A:E,5,FALSE)</f>
        <v>1.9918826666666667E-2</v>
      </c>
      <c r="H31" s="100">
        <f>VLOOKUP(B31,'Portfolio Allocation'!A:G,6,FALSE)</f>
        <v>22499.833199999997</v>
      </c>
      <c r="I31" s="100">
        <f>VLOOKUP(B31,'Portfolio Allocation'!A:G,7,FALSE)</f>
        <v>14939.119999999999</v>
      </c>
      <c r="J31" s="104">
        <f t="shared" si="3"/>
        <v>-7560.7131999999983</v>
      </c>
    </row>
    <row r="32" spans="2:10" x14ac:dyDescent="0.2">
      <c r="B32" s="82" t="s">
        <v>34</v>
      </c>
      <c r="C32" s="83">
        <f>IFERROR(VLOOKUP(B32,'Portfolio Allocation'!A:J,10,FALSE),"")</f>
        <v>1.4281218986759603E-2</v>
      </c>
      <c r="D32" s="83">
        <f>IFERROR(VLOOKUP(B32,'Portfolio Allocation'!A:L,11,FALSE)," ")</f>
        <v>-8.1074561403508938E-2</v>
      </c>
      <c r="E32" s="10" t="str">
        <f>VLOOKUP(B32,'Portfolio Allocation'!A:H,3,FALSE)</f>
        <v>Underweight</v>
      </c>
      <c r="F32" s="69">
        <f>VLOOKUP(B32,'Portfolio Allocation'!A:D,4,FALSE)</f>
        <v>0.03</v>
      </c>
      <c r="G32" s="69">
        <f>VLOOKUP(B32,'Portfolio Allocation'!A:E,5,FALSE)</f>
        <v>2.2348266666666661E-2</v>
      </c>
      <c r="H32" s="100">
        <f>VLOOKUP(B32,'Portfolio Allocation'!A:G,6,FALSE)</f>
        <v>22499.833199999997</v>
      </c>
      <c r="I32" s="100">
        <f>VLOOKUP(B32,'Portfolio Allocation'!A:G,7,FALSE)</f>
        <v>16761.199999999997</v>
      </c>
      <c r="J32" s="104">
        <f t="shared" si="3"/>
        <v>-5738.6332000000002</v>
      </c>
    </row>
    <row r="33" spans="2:11" ht="15" thickBot="1" x14ac:dyDescent="0.25">
      <c r="B33" s="84"/>
      <c r="C33" s="87"/>
      <c r="D33" s="87"/>
      <c r="E33" s="85"/>
      <c r="F33" s="86">
        <f>SUM(F26:F32)</f>
        <v>0.16</v>
      </c>
      <c r="G33" s="86"/>
      <c r="H33" s="101">
        <f>SUM(H26:H32)</f>
        <v>119999.11039999998</v>
      </c>
      <c r="I33" s="101">
        <f>SUM(I26:I32)</f>
        <v>150726.32</v>
      </c>
      <c r="J33" s="105">
        <f>I33-H33</f>
        <v>30727.209600000031</v>
      </c>
    </row>
    <row r="34" spans="2:11" x14ac:dyDescent="0.2">
      <c r="B34" s="80" t="s">
        <v>35</v>
      </c>
      <c r="C34" s="81"/>
      <c r="D34" s="81"/>
      <c r="E34" s="10"/>
      <c r="F34" s="69"/>
      <c r="G34" s="69"/>
      <c r="H34" s="100"/>
      <c r="I34" s="100"/>
      <c r="J34" s="104"/>
    </row>
    <row r="35" spans="2:11" ht="15" thickBot="1" x14ac:dyDescent="0.25">
      <c r="B35" s="82" t="s">
        <v>36</v>
      </c>
      <c r="C35" s="81" t="str">
        <f>IFERROR(VLOOKUP(B35,'Portfolio Allocation'!A:J,10,FALSE),"")</f>
        <v/>
      </c>
      <c r="D35" s="81" t="str">
        <f>IFERROR(VLOOKUP(B35,'Portfolio Allocation'!A:L,11,FALSE)," ")</f>
        <v/>
      </c>
      <c r="E35" s="10" t="str">
        <f>VLOOKUP(B35,'Portfolio Allocation'!A:H,3,FALSE)</f>
        <v>Overweight</v>
      </c>
      <c r="F35" s="88">
        <f>VLOOKUP(B35,'Portfolio Allocation'!A:D,4,FALSE)</f>
        <v>0</v>
      </c>
      <c r="G35" s="88">
        <f>VLOOKUP(B35,'Portfolio Allocation'!A:E,5,FALSE)</f>
        <v>0.12053003999999977</v>
      </c>
      <c r="H35" s="101">
        <f>VLOOKUP(B35,'Portfolio Allocation'!A:G,6,FALSE)</f>
        <v>0</v>
      </c>
      <c r="I35" s="101">
        <f>VLOOKUP(B35,'Portfolio Allocation'!A:G,7,FALSE)</f>
        <v>90397.529999999824</v>
      </c>
      <c r="J35" s="105">
        <f>I35-H35</f>
        <v>90397.529999999824</v>
      </c>
    </row>
    <row r="36" spans="2:11" ht="15" thickBot="1" x14ac:dyDescent="0.25">
      <c r="B36" s="76" t="s">
        <v>37</v>
      </c>
      <c r="C36" s="77"/>
      <c r="D36" s="77"/>
      <c r="E36" s="78"/>
      <c r="F36" s="77">
        <f>SUM(F16,F13,F19,F24,F33,F35)</f>
        <v>0.62</v>
      </c>
      <c r="G36" s="77">
        <f>SUM(G16,G13,G19,G24,G33,G35)</f>
        <v>0.89961835999999973</v>
      </c>
      <c r="H36" s="102">
        <f>SUM(H16,H13,H19,H24,H33,H35)</f>
        <v>464996.55279999995</v>
      </c>
      <c r="I36" s="102">
        <f>SUM(I16,I13,I19,I24,I33,I35)</f>
        <v>843835.24999999977</v>
      </c>
      <c r="J36" s="106">
        <f>SUM(J16,J13,J19,J24,J33,J35)</f>
        <v>378838.69719999982</v>
      </c>
      <c r="K36" s="89"/>
    </row>
    <row r="37" spans="2:11" x14ac:dyDescent="0.2">
      <c r="B37" s="10"/>
      <c r="C37" s="65"/>
      <c r="D37" s="65"/>
      <c r="E37" s="72"/>
      <c r="F37" s="69"/>
      <c r="G37" s="69"/>
      <c r="H37" s="66"/>
      <c r="I37" s="75"/>
      <c r="J37" s="75"/>
    </row>
    <row r="40" spans="2:11" x14ac:dyDescent="0.2">
      <c r="J40" s="94"/>
    </row>
  </sheetData>
  <conditionalFormatting sqref="C18 C15">
    <cfRule type="iconSet" priority="11">
      <iconSet iconSet="3Arrows">
        <cfvo type="percent" val="0"/>
        <cfvo type="num" val="0"/>
        <cfvo type="num" val="0"/>
      </iconSet>
    </cfRule>
  </conditionalFormatting>
  <conditionalFormatting sqref="C21:C23">
    <cfRule type="iconSet" priority="38">
      <iconSet iconSet="3Arrows">
        <cfvo type="percent" val="0"/>
        <cfvo type="num" val="0"/>
        <cfvo type="num" val="0"/>
      </iconSet>
    </cfRule>
  </conditionalFormatting>
  <conditionalFormatting sqref="C26:C32">
    <cfRule type="iconSet" priority="35">
      <iconSet iconSet="3Arrows">
        <cfvo type="percent" val="0"/>
        <cfvo type="num" val="0"/>
        <cfvo type="num" val="0"/>
      </iconSet>
    </cfRule>
  </conditionalFormatting>
  <conditionalFormatting sqref="C8:D12">
    <cfRule type="iconSet" priority="29">
      <iconSet iconSet="3Arrows">
        <cfvo type="percent" val="0"/>
        <cfvo type="num" val="0"/>
        <cfvo type="num" val="0"/>
      </iconSet>
    </cfRule>
  </conditionalFormatting>
  <conditionalFormatting sqref="D15">
    <cfRule type="iconSet" priority="14">
      <iconSet iconSet="3Arrows">
        <cfvo type="percent" val="0"/>
        <cfvo type="num" val="0"/>
        <cfvo type="num" val="0"/>
      </iconSet>
    </cfRule>
  </conditionalFormatting>
  <conditionalFormatting sqref="D18">
    <cfRule type="iconSet" priority="13">
      <iconSet iconSet="3Arrows">
        <cfvo type="percent" val="0"/>
        <cfvo type="num" val="0"/>
        <cfvo type="num" val="0"/>
      </iconSet>
    </cfRule>
  </conditionalFormatting>
  <conditionalFormatting sqref="D21:D23">
    <cfRule type="iconSet" priority="39">
      <iconSet iconSet="3Arrows">
        <cfvo type="percent" val="0"/>
        <cfvo type="num" val="0"/>
        <cfvo type="num" val="0"/>
      </iconSet>
    </cfRule>
  </conditionalFormatting>
  <conditionalFormatting sqref="D26:D32">
    <cfRule type="iconSet" priority="37">
      <iconSet iconSet="3Arrows">
        <cfvo type="percent" val="0"/>
        <cfvo type="num" val="0"/>
        <cfvo type="num" val="0"/>
      </iconSet>
    </cfRule>
  </conditionalFormatting>
  <conditionalFormatting sqref="E5:F5 C3:D4">
    <cfRule type="iconSet" priority="3">
      <iconSet iconSet="3Arrows">
        <cfvo type="percent" val="0"/>
        <cfvo type="num" val="0"/>
        <cfvo type="num" val="0"/>
      </iconSet>
    </cfRule>
  </conditionalFormatting>
  <conditionalFormatting sqref="E37:G37">
    <cfRule type="iconSet" priority="2">
      <iconSet iconSet="3Arrows">
        <cfvo type="percent" val="0"/>
        <cfvo type="num" val="0"/>
        <cfvo type="num" val="0"/>
      </iconSet>
    </cfRule>
  </conditionalFormatting>
  <pageMargins left="0.25" right="0.25" top="0.75" bottom="0.75" header="0.3" footer="0.3"/>
  <pageSetup paperSize="9" scale="51"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D3316-6E0E-437B-9DEE-2137581F1ABE}">
  <sheetPr>
    <pageSetUpPr fitToPage="1"/>
  </sheetPr>
  <dimension ref="A1:AA35"/>
  <sheetViews>
    <sheetView showGridLines="0" zoomScale="80" zoomScaleNormal="115" workbookViewId="0">
      <pane ySplit="1" topLeftCell="A2" activePane="bottomLeft" state="frozen"/>
      <selection activeCell="C1" sqref="C1"/>
      <selection pane="bottomLeft" activeCell="D15" sqref="D15"/>
    </sheetView>
  </sheetViews>
  <sheetFormatPr defaultColWidth="9.28515625" defaultRowHeight="14.25" outlineLevelCol="1" x14ac:dyDescent="0.2"/>
  <cols>
    <col min="1" max="1" width="16.28515625" style="11" customWidth="1"/>
    <col min="2" max="2" width="15.42578125" style="11" customWidth="1"/>
    <col min="3" max="3" width="29.28515625" style="11" bestFit="1" customWidth="1"/>
    <col min="4" max="4" width="22.5703125" style="11" bestFit="1" customWidth="1"/>
    <col min="5" max="5" width="16.28515625" style="11" bestFit="1" customWidth="1"/>
    <col min="6" max="6" width="15.5703125" style="11" bestFit="1" customWidth="1"/>
    <col min="7" max="7" width="12.28515625" style="11" customWidth="1"/>
    <col min="8" max="8" width="13.7109375" style="11" customWidth="1"/>
    <col min="9" max="9" width="11.42578125" style="11" bestFit="1" customWidth="1"/>
    <col min="10" max="10" width="8.28515625" style="11" customWidth="1"/>
    <col min="11" max="11" width="16" style="11" bestFit="1" customWidth="1"/>
    <col min="12" max="12" width="10.28515625" style="11" bestFit="1" customWidth="1"/>
    <col min="13" max="13" width="20.5703125" style="11" bestFit="1" customWidth="1"/>
    <col min="14" max="14" width="11.28515625" style="11" bestFit="1" customWidth="1"/>
    <col min="15" max="15" width="19.5703125" style="11" bestFit="1" customWidth="1"/>
    <col min="16" max="16" width="16.42578125" style="11" bestFit="1" customWidth="1"/>
    <col min="17" max="17" width="22.28515625" style="11" hidden="1" customWidth="1" outlineLevel="1"/>
    <col min="18" max="18" width="14.42578125" style="11" bestFit="1" customWidth="1" collapsed="1"/>
    <col min="19" max="19" width="9.7109375" style="11" bestFit="1" customWidth="1"/>
    <col min="20" max="20" width="10.28515625" style="11" bestFit="1" customWidth="1"/>
    <col min="21" max="21" width="7.7109375" style="11" bestFit="1" customWidth="1"/>
    <col min="22" max="22" width="11.7109375" style="11" bestFit="1" customWidth="1"/>
    <col min="23" max="16384" width="9.28515625" style="11"/>
  </cols>
  <sheetData>
    <row r="1" spans="1:27" s="5" customFormat="1" ht="15" x14ac:dyDescent="0.25">
      <c r="A1" s="1" t="s">
        <v>38</v>
      </c>
      <c r="B1" s="2" t="s">
        <v>39</v>
      </c>
      <c r="C1" s="3" t="s">
        <v>40</v>
      </c>
      <c r="D1" s="2" t="s">
        <v>41</v>
      </c>
      <c r="E1" s="2" t="s">
        <v>42</v>
      </c>
      <c r="F1" s="2" t="s">
        <v>43</v>
      </c>
      <c r="G1" s="2" t="s">
        <v>44</v>
      </c>
      <c r="H1" s="2" t="s">
        <v>45</v>
      </c>
      <c r="I1" s="2" t="s">
        <v>46</v>
      </c>
      <c r="J1" s="107" t="s">
        <v>47</v>
      </c>
      <c r="K1" s="107" t="s">
        <v>48</v>
      </c>
      <c r="L1" s="4" t="s">
        <v>49</v>
      </c>
      <c r="M1" s="239" t="s">
        <v>50</v>
      </c>
      <c r="N1" s="239" t="s">
        <v>51</v>
      </c>
      <c r="O1" s="239" t="s">
        <v>52</v>
      </c>
      <c r="P1" s="239" t="s">
        <v>48</v>
      </c>
      <c r="Q1" s="239" t="s">
        <v>53</v>
      </c>
      <c r="R1" s="239" t="s">
        <v>54</v>
      </c>
    </row>
    <row r="2" spans="1:27" x14ac:dyDescent="0.2">
      <c r="A2" s="6" t="s">
        <v>55</v>
      </c>
      <c r="B2" s="11">
        <f>_xlfn.XLOOKUP(A2,'Daily Change'!A:A,'Daily Change'!C:C,,0)</f>
        <v>92.28</v>
      </c>
      <c r="C2" s="8">
        <f>IFERROR(VLOOKUP(A2,Ledger!$J$3:$L$30,2,FALSE),0)</f>
        <v>1440</v>
      </c>
      <c r="D2" s="7">
        <f t="shared" ref="D2:D15" si="0">C2*B2</f>
        <v>132883.20000000001</v>
      </c>
      <c r="E2" s="264">
        <f>IFERROR(VLOOKUP(A2,Ledger!$J$3:$L$30,3,FALSE),0)</f>
        <v>83.772201388888888</v>
      </c>
      <c r="F2" s="7">
        <f t="shared" ref="F2:F15" si="1">E2*C2</f>
        <v>120631.97</v>
      </c>
      <c r="G2" s="7">
        <f>304.35+142.25</f>
        <v>446.6</v>
      </c>
      <c r="H2" s="7">
        <f t="shared" ref="H2:H18" si="2">D2-F2+G2</f>
        <v>12697.830000000011</v>
      </c>
      <c r="I2" s="9">
        <f t="shared" ref="I2:I18" si="3">D2/$D$19</f>
        <v>0.13238098361484071</v>
      </c>
      <c r="J2" s="108">
        <f>VLOOKUP(A:A,'Daily Change'!A:F,6,)</f>
        <v>0.95989999999999998</v>
      </c>
      <c r="K2" s="108">
        <f t="shared" ref="K2:K18" si="4">J2*I2</f>
        <v>0.12707250617188559</v>
      </c>
      <c r="L2" s="97">
        <f t="shared" ref="L2:L7" si="5">H2/F2</f>
        <v>0.10526090223014688</v>
      </c>
      <c r="M2" s="242" t="s">
        <v>56</v>
      </c>
      <c r="N2" s="243" cm="1">
        <f t="array" ref="N2">SUMPRODUCT(($Q$2:$Q$18=M2)*$D$2:$D$18)/$D$19</f>
        <v>0.23787907340165471</v>
      </c>
      <c r="O2" s="244" cm="1">
        <f t="array" ref="O2">IFERROR(SUMPRODUCT(($Q$2:$Q$18=M2)*$H$2:$H$18)/SUMPRODUCT(($Q$2:$Q$18=M2)*$F$2:$F$18),0)</f>
        <v>0.20509961576782462</v>
      </c>
      <c r="P2" s="245" cm="1">
        <f t="array" ref="P2">IFERROR(SUMPRODUCT(($Q$2:$Q$18=M2)*$D$2:$D$18*$J$2:$J$18)/SUMPRODUCT(($Q$2:$Q$18=M2)*$D$2:$D$18),0)</f>
        <v>0.94683449225467708</v>
      </c>
      <c r="Q2" s="11" t="s">
        <v>56</v>
      </c>
      <c r="R2" s="246">
        <f t="shared" ref="R2:R7" si="6">COUNTIF($Q$2:$Q$18,M2)</f>
        <v>4</v>
      </c>
      <c r="Z2" s="10"/>
      <c r="AA2" s="10"/>
    </row>
    <row r="3" spans="1:27" x14ac:dyDescent="0.2">
      <c r="A3" s="6" t="s">
        <v>57</v>
      </c>
      <c r="B3" s="11">
        <f>_xlfn.XLOOKUP(A3,'Daily Change'!A:A,'Daily Change'!C:C,,0)</f>
        <v>499.86</v>
      </c>
      <c r="C3" s="8">
        <f>IFERROR(VLOOKUP(A3,Ledger!$J$3:$L$30,2,FALSE),0)</f>
        <v>22</v>
      </c>
      <c r="D3" s="7">
        <f t="shared" si="0"/>
        <v>10996.92</v>
      </c>
      <c r="E3" s="264">
        <f>IFERROR(VLOOKUP(A3,Ledger!$J$3:$L$30,3,FALSE),0)</f>
        <v>406.20136363636362</v>
      </c>
      <c r="F3" s="7">
        <f t="shared" si="1"/>
        <v>8936.43</v>
      </c>
      <c r="G3" s="7">
        <v>11.55</v>
      </c>
      <c r="H3" s="7">
        <f t="shared" si="2"/>
        <v>2072.04</v>
      </c>
      <c r="I3" s="9">
        <f t="shared" si="3"/>
        <v>1.0955358437588153E-2</v>
      </c>
      <c r="J3" s="108">
        <f>VLOOKUP(A:A,'Daily Change'!A:F,6,)</f>
        <v>1.1022000000000001</v>
      </c>
      <c r="K3" s="108">
        <f t="shared" si="4"/>
        <v>1.2074996069909664E-2</v>
      </c>
      <c r="L3" s="97">
        <f t="shared" si="5"/>
        <v>0.23186440222773522</v>
      </c>
      <c r="M3" s="242" t="s">
        <v>58</v>
      </c>
      <c r="N3" s="243" cm="1">
        <f t="array" ref="N3">SUMPRODUCT(($Q$2:$Q$18=M3)*$D$2:$D$18)/$D$19</f>
        <v>9.3292315078440616E-2</v>
      </c>
      <c r="O3" s="244" cm="1">
        <f t="array" ref="O3">IFERROR(SUMPRODUCT(($Q$2:$Q$18=M3)*$H$2:$H$18)/SUMPRODUCT(($Q$2:$Q$18=M3)*$F$2:$F$18),0)</f>
        <v>-2.9738803376373201E-2</v>
      </c>
      <c r="P3" s="245" cm="1">
        <f t="array" ref="P3">IFERROR(SUMPRODUCT(($Q$2:$Q$18=M3)*$D$2:$D$18*$J$2:$J$18)/SUMPRODUCT(($Q$2:$Q$18=M3)*$D$2:$D$18),0)</f>
        <v>1.5091111325345259</v>
      </c>
      <c r="Q3" s="11" t="s">
        <v>58</v>
      </c>
      <c r="R3" s="246">
        <f t="shared" si="6"/>
        <v>4</v>
      </c>
      <c r="Z3" s="10"/>
      <c r="AA3" s="10"/>
    </row>
    <row r="4" spans="1:27" x14ac:dyDescent="0.2">
      <c r="A4" s="6" t="s">
        <v>59</v>
      </c>
      <c r="B4" s="11">
        <f>_xlfn.XLOOKUP(A4,'Daily Change'!A:A,'Daily Change'!C:C,,0)</f>
        <v>302.02999999999997</v>
      </c>
      <c r="C4" s="8">
        <f>IFERROR(VLOOKUP(A4,Ledger!$J$3:$L$30,2,FALSE),0)</f>
        <v>169</v>
      </c>
      <c r="D4" s="7">
        <f t="shared" si="0"/>
        <v>51043.069999999992</v>
      </c>
      <c r="E4" s="264">
        <f>IFERROR(VLOOKUP(A4,Ledger!$J$3:$L$30,3,FALSE),0)</f>
        <v>222.16467455621301</v>
      </c>
      <c r="F4" s="7">
        <f t="shared" si="1"/>
        <v>37545.83</v>
      </c>
      <c r="G4" s="7">
        <v>53.42</v>
      </c>
      <c r="H4" s="7">
        <f t="shared" si="2"/>
        <v>13550.659999999991</v>
      </c>
      <c r="I4" s="9">
        <f t="shared" si="3"/>
        <v>5.0850158735800809E-2</v>
      </c>
      <c r="J4" s="108">
        <f>VLOOKUP(A:A,'Daily Change'!A:F,6,)</f>
        <v>0.92469999999999997</v>
      </c>
      <c r="K4" s="108">
        <f t="shared" si="4"/>
        <v>4.7021141782995005E-2</v>
      </c>
      <c r="L4" s="97">
        <f t="shared" si="5"/>
        <v>0.36090985337119968</v>
      </c>
      <c r="M4" s="242" t="s">
        <v>60</v>
      </c>
      <c r="N4" s="243" cm="1">
        <f t="array" ref="N4">SUMPRODUCT(($Q$2:$Q$18=M4)*$D$2:$D$18)/$D$19</f>
        <v>0.28497847147320265</v>
      </c>
      <c r="O4" s="244" cm="1">
        <f t="array" ref="O4">IFERROR(SUMPRODUCT(($Q$2:$Q$18=M4)*$H$2:$H$18)/SUMPRODUCT(($Q$2:$Q$18=M4)*$F$2:$F$18),0)</f>
        <v>3.2998883202134876E-3</v>
      </c>
      <c r="P4" s="245" cm="1">
        <f t="array" ref="P4">IFERROR(SUMPRODUCT(($Q$2:$Q$18=M4)*$D$2:$D$18*$J$2:$J$18)/SUMPRODUCT(($Q$2:$Q$18=M4)*$D$2:$D$18),0)</f>
        <v>0.49740000000000001</v>
      </c>
      <c r="Q4" s="11" t="s">
        <v>56</v>
      </c>
      <c r="R4" s="246">
        <f t="shared" si="6"/>
        <v>1</v>
      </c>
      <c r="Z4" s="10"/>
      <c r="AA4" s="10"/>
    </row>
    <row r="5" spans="1:27" x14ac:dyDescent="0.2">
      <c r="A5" s="6" t="s">
        <v>61</v>
      </c>
      <c r="B5" s="11">
        <f>_xlfn.XLOOKUP(A5,'Daily Change'!A:A,'Daily Change'!C:C,,0)</f>
        <v>223.37</v>
      </c>
      <c r="C5" s="8">
        <f>IFERROR(VLOOKUP(A5,Ledger!$J$3:$L$30,2,FALSE),0)</f>
        <v>185</v>
      </c>
      <c r="D5" s="7">
        <f t="shared" si="0"/>
        <v>41323.450000000004</v>
      </c>
      <c r="E5" s="264">
        <f>IFERROR(VLOOKUP(A5,Ledger!$J$3:$L$30,3,FALSE),0)</f>
        <v>162.20621621621623</v>
      </c>
      <c r="F5" s="7">
        <f t="shared" si="1"/>
        <v>30008.15</v>
      </c>
      <c r="G5" s="7">
        <v>131.19</v>
      </c>
      <c r="H5" s="7">
        <f t="shared" si="2"/>
        <v>11446.490000000003</v>
      </c>
      <c r="I5" s="9">
        <f t="shared" si="3"/>
        <v>4.116727289347856E-2</v>
      </c>
      <c r="J5" s="108">
        <f>VLOOKUP(A:A,'Daily Change'!A:F,6,)</f>
        <v>0.88600000000000001</v>
      </c>
      <c r="K5" s="108">
        <f t="shared" si="4"/>
        <v>3.6474203783622004E-2</v>
      </c>
      <c r="L5" s="97">
        <f t="shared" si="5"/>
        <v>0.38144604049233299</v>
      </c>
      <c r="M5" s="242" t="s">
        <v>62</v>
      </c>
      <c r="N5" s="243" cm="1">
        <f t="array" ref="N5">SUMPRODUCT(($Q$2:$Q$18=M5)*$D$2:$D$18)/$D$19</f>
        <v>1.8986171780393288E-2</v>
      </c>
      <c r="O5" s="244" cm="1">
        <f t="array" ref="O5">IFERROR(SUMPRODUCT(($Q$2:$Q$18=M5)*$H$2:$H$18)/SUMPRODUCT(($Q$2:$Q$18=M5)*$F$2:$F$18),0)</f>
        <v>0.2649236593595935</v>
      </c>
      <c r="P5" s="245" cm="1">
        <f t="array" ref="P5">IFERROR(SUMPRODUCT(($Q$2:$Q$18=M5)*$D$2:$D$18*$J$2:$J$18)/SUMPRODUCT(($Q$2:$Q$18=M5)*$D$2:$D$18),0)</f>
        <v>1.4470000000000001</v>
      </c>
      <c r="Q5" s="11" t="s">
        <v>56</v>
      </c>
      <c r="R5" s="246">
        <f t="shared" si="6"/>
        <v>1</v>
      </c>
      <c r="Z5" s="10"/>
      <c r="AA5" s="10"/>
    </row>
    <row r="6" spans="1:27" x14ac:dyDescent="0.2">
      <c r="A6" s="6" t="s">
        <v>63</v>
      </c>
      <c r="B6" s="11">
        <f>_xlfn.XLOOKUP(A6,'Daily Change'!A:A,'Daily Change'!C:C,,0)</f>
        <v>218.99</v>
      </c>
      <c r="C6" s="8">
        <f>IFERROR(VLOOKUP(A6,Ledger!$J$3:$L$233,2,FALSE),0)</f>
        <v>84</v>
      </c>
      <c r="D6" s="7">
        <f t="shared" si="0"/>
        <v>18395.16</v>
      </c>
      <c r="E6" s="264">
        <f>IFERROR(VLOOKUP(A6,Ledger!$J$3:$L$233,3,FALSE),0)</f>
        <v>139.89130952380955</v>
      </c>
      <c r="F6" s="7">
        <f t="shared" si="1"/>
        <v>11750.870000000003</v>
      </c>
      <c r="G6" s="7">
        <v>1.75</v>
      </c>
      <c r="H6" s="7">
        <f t="shared" si="2"/>
        <v>6646.0399999999972</v>
      </c>
      <c r="I6" s="9">
        <f t="shared" si="3"/>
        <v>1.8325637661889337E-2</v>
      </c>
      <c r="J6" s="108">
        <f>VLOOKUP(A:A,'Daily Change'!A:F,6,)</f>
        <v>2.2139000000000002</v>
      </c>
      <c r="K6" s="108">
        <f t="shared" si="4"/>
        <v>4.0571129219656804E-2</v>
      </c>
      <c r="L6" s="97">
        <f t="shared" si="5"/>
        <v>0.56557854865214197</v>
      </c>
      <c r="M6" s="242" t="s">
        <v>64</v>
      </c>
      <c r="N6" s="243" cm="1">
        <f t="array" ref="N6">SUMPRODUCT(($Q$2:$Q$18=M6)*$D$2:$D$18)/$D$19</f>
        <v>1.2778322621902836E-2</v>
      </c>
      <c r="O6" s="244" cm="1">
        <f t="array" ref="O6">IFERROR(SUMPRODUCT(($Q$2:$Q$18=M6)*$H$2:$H$18)/SUMPRODUCT(($Q$2:$Q$18=M6)*$F$2:$F$18),0)</f>
        <v>0.27057019546700417</v>
      </c>
      <c r="P6" s="245" cm="1">
        <f t="array" ref="P6">IFERROR(SUMPRODUCT(($Q$2:$Q$18=M6)*$D$2:$D$18*$J$2:$J$18)/SUMPRODUCT(($Q$2:$Q$18=M6)*$D$2:$D$18),0)</f>
        <v>0.97499999999999998</v>
      </c>
      <c r="Q6" s="11" t="s">
        <v>65</v>
      </c>
      <c r="R6" s="246">
        <f t="shared" si="6"/>
        <v>1</v>
      </c>
      <c r="Z6" s="10"/>
      <c r="AA6" s="10"/>
    </row>
    <row r="7" spans="1:27" x14ac:dyDescent="0.2">
      <c r="A7" s="6" t="s">
        <v>66</v>
      </c>
      <c r="B7" s="11">
        <f>_xlfn.XLOOKUP(A7,'Daily Change'!A:A,'Daily Change'!C:C,,0)</f>
        <v>71.22</v>
      </c>
      <c r="C7" s="8">
        <f>IFERROR(VLOOKUP(A7,Ledger!$J$3:$L$30,2,FALSE),0)</f>
        <v>190</v>
      </c>
      <c r="D7" s="7">
        <f t="shared" si="0"/>
        <v>13531.8</v>
      </c>
      <c r="E7" s="264">
        <f>IFERROR(VLOOKUP(A7,Ledger!$J$3:$L$30,3,FALSE),0)</f>
        <v>55.159947368421051</v>
      </c>
      <c r="F7" s="7">
        <f t="shared" si="1"/>
        <v>10480.39</v>
      </c>
      <c r="G7" s="7">
        <v>0</v>
      </c>
      <c r="H7" s="7">
        <f t="shared" si="2"/>
        <v>3051.41</v>
      </c>
      <c r="I7" s="9">
        <f t="shared" si="3"/>
        <v>1.3480658157534598E-2</v>
      </c>
      <c r="J7" s="108">
        <f>VLOOKUP(A:A,'Daily Change'!A:F,6,)</f>
        <v>1.0878000000000001</v>
      </c>
      <c r="K7" s="108">
        <f t="shared" si="4"/>
        <v>1.4664259943766137E-2</v>
      </c>
      <c r="L7" s="97">
        <f t="shared" si="5"/>
        <v>0.29115424139750523</v>
      </c>
      <c r="M7" s="242" t="s">
        <v>67</v>
      </c>
      <c r="N7" s="243" cm="1">
        <f t="array" ref="N7">SUMPRODUCT(($Q$2:$Q$18=M7)*$D$2:$D$18)/$D$19</f>
        <v>1.3075395610165802E-2</v>
      </c>
      <c r="O7" s="244" cm="1">
        <f t="array" ref="O7">IFERROR(SUMPRODUCT(($Q$2:$Q$18=M7)*$H$2:$H$18)/SUMPRODUCT(($Q$2:$Q$18=M7)*$F$2:$F$18),0)</f>
        <v>-0.57765378229138509</v>
      </c>
      <c r="P7" s="245" cm="1">
        <f t="array" ref="P7">IFERROR(SUMPRODUCT(($Q$2:$Q$18=M7)*$D$2:$D$18*$J$2:$J$18)/SUMPRODUCT(($Q$2:$Q$18=M7)*$D$2:$D$18),0)</f>
        <v>7.0902000000000003</v>
      </c>
      <c r="Q7" s="11" t="s">
        <v>56</v>
      </c>
      <c r="R7" s="246">
        <f t="shared" si="6"/>
        <v>1</v>
      </c>
      <c r="Z7" s="10"/>
      <c r="AA7" s="10"/>
    </row>
    <row r="8" spans="1:27" x14ac:dyDescent="0.2">
      <c r="A8" s="241" t="s">
        <v>68</v>
      </c>
      <c r="B8" s="11">
        <f>_xlfn.XLOOKUP(A8,'Daily Change'!A:A,'Daily Change'!C:C,,0)</f>
        <v>356.3</v>
      </c>
      <c r="C8" s="8">
        <f>IFERROR(VLOOKUP(A8,Ledger!$J$3:$L$20,2,FALSE),0)</f>
        <v>36</v>
      </c>
      <c r="D8" s="7">
        <f>C8*B8</f>
        <v>12826.800000000001</v>
      </c>
      <c r="E8" s="264">
        <f>IFERROR(VLOOKUP(A8,Ledger!$J$3:$L$20,3,FALSE),0)</f>
        <v>280.42527777777775</v>
      </c>
      <c r="F8" s="7">
        <f t="shared" si="1"/>
        <v>10095.31</v>
      </c>
      <c r="G8" s="7">
        <v>0</v>
      </c>
      <c r="H8" s="7">
        <f t="shared" si="2"/>
        <v>2731.4900000000016</v>
      </c>
      <c r="I8" s="9">
        <f t="shared" si="3"/>
        <v>1.2778322621902836E-2</v>
      </c>
      <c r="J8" s="108">
        <f>VLOOKUP(A:A,'Daily Change'!A:F,6,)</f>
        <v>0.97499999999999998</v>
      </c>
      <c r="K8" s="108">
        <f t="shared" si="4"/>
        <v>1.2458864556355266E-2</v>
      </c>
      <c r="L8" s="97">
        <f t="shared" ref="L8:L18" si="7">H8/F8</f>
        <v>0.27057019546700417</v>
      </c>
      <c r="M8" s="10"/>
      <c r="N8" s="10"/>
      <c r="O8" s="10"/>
      <c r="Q8" s="11" t="s">
        <v>64</v>
      </c>
      <c r="Z8" s="10"/>
      <c r="AA8" s="10"/>
    </row>
    <row r="9" spans="1:27" x14ac:dyDescent="0.2">
      <c r="A9" s="241" t="s">
        <v>69</v>
      </c>
      <c r="B9" s="11">
        <f>_xlfn.XLOOKUP(A9,'Daily Change'!A:A,'Daily Change'!C:C,,0)</f>
        <v>272.26</v>
      </c>
      <c r="C9" s="8">
        <f>IFERROR(VLOOKUP(A9,Ledger!$J$3:$L$22,2,FALSE),0)</f>
        <v>70</v>
      </c>
      <c r="D9" s="7">
        <f t="shared" si="0"/>
        <v>19058.2</v>
      </c>
      <c r="E9" s="264">
        <f>IFERROR(VLOOKUP(A9,Ledger!$J$3:$L$22,3,FALSE),0)</f>
        <v>215.23828571428572</v>
      </c>
      <c r="F9" s="7">
        <f t="shared" si="1"/>
        <v>15066.68</v>
      </c>
      <c r="G9" s="7">
        <v>0</v>
      </c>
      <c r="H9" s="7">
        <f t="shared" si="2"/>
        <v>3991.5200000000004</v>
      </c>
      <c r="I9" s="9">
        <f t="shared" si="3"/>
        <v>1.8986171780393288E-2</v>
      </c>
      <c r="J9" s="108">
        <f>VLOOKUP(A:A,'Daily Change'!A:F,6,)</f>
        <v>1.4470000000000001</v>
      </c>
      <c r="K9" s="108">
        <f t="shared" si="4"/>
        <v>2.7472990566229087E-2</v>
      </c>
      <c r="L9" s="97">
        <f t="shared" si="7"/>
        <v>0.2649236593595935</v>
      </c>
      <c r="M9" s="10"/>
      <c r="N9" s="10"/>
      <c r="O9" s="10"/>
      <c r="Q9" s="11" t="s">
        <v>62</v>
      </c>
      <c r="Z9" s="10"/>
      <c r="AA9" s="10"/>
    </row>
    <row r="10" spans="1:27" x14ac:dyDescent="0.2">
      <c r="A10" s="241" t="s">
        <v>70</v>
      </c>
      <c r="B10" s="11">
        <f>_xlfn.XLOOKUP(A10,'Daily Change'!A:A,'Daily Change'!C:C,,0)</f>
        <v>838.06</v>
      </c>
      <c r="C10" s="8">
        <f>IFERROR(VLOOKUP(A10,Ledger!$J$3:$L$22,2,FALSE),0)</f>
        <v>20</v>
      </c>
      <c r="D10" s="7">
        <f t="shared" si="0"/>
        <v>16761.199999999997</v>
      </c>
      <c r="E10" s="264">
        <f>IFERROR(VLOOKUP(A10,Ledger!$J$3:$L$22,3,FALSE),0)</f>
        <v>912</v>
      </c>
      <c r="F10" s="7">
        <f t="shared" si="1"/>
        <v>18240</v>
      </c>
      <c r="G10" s="7">
        <v>0</v>
      </c>
      <c r="H10" s="7">
        <f t="shared" si="2"/>
        <v>-1478.8000000000029</v>
      </c>
      <c r="I10" s="9">
        <f t="shared" si="3"/>
        <v>1.6697853021037028E-2</v>
      </c>
      <c r="J10" s="108">
        <f>VLOOKUP(A:A,'Daily Change'!A:F,6,)</f>
        <v>1.5259</v>
      </c>
      <c r="K10" s="108">
        <f t="shared" si="4"/>
        <v>2.5479253924800403E-2</v>
      </c>
      <c r="L10" s="97">
        <f t="shared" si="7"/>
        <v>-8.1074561403508938E-2</v>
      </c>
      <c r="M10" s="10"/>
      <c r="N10" s="10"/>
      <c r="O10" s="10"/>
      <c r="Q10" s="11" t="s">
        <v>58</v>
      </c>
      <c r="Z10" s="10"/>
      <c r="AA10" s="10"/>
    </row>
    <row r="11" spans="1:27" x14ac:dyDescent="0.2">
      <c r="A11" s="241" t="s">
        <v>71</v>
      </c>
      <c r="B11" s="11">
        <f>_xlfn.XLOOKUP(A11,'Daily Change'!A:A,'Daily Change'!C:C,,0)</f>
        <v>403.76</v>
      </c>
      <c r="C11" s="8">
        <f>IFERROR(VLOOKUP(A11,Ledger!$J$3:$L$31,2,FALSE),0)</f>
        <v>37</v>
      </c>
      <c r="D11" s="7">
        <f t="shared" si="0"/>
        <v>14939.119999999999</v>
      </c>
      <c r="E11" s="264">
        <f>IFERROR(VLOOKUP(A11,Ledger!$J$3:$L$31,3,FALSE),0)</f>
        <v>543.08108108108104</v>
      </c>
      <c r="F11" s="7">
        <f t="shared" si="1"/>
        <v>20094</v>
      </c>
      <c r="G11" s="7">
        <v>0</v>
      </c>
      <c r="H11" s="7">
        <f t="shared" si="2"/>
        <v>-5154.880000000001</v>
      </c>
      <c r="I11" s="9">
        <f t="shared" si="3"/>
        <v>1.4882659357542105E-2</v>
      </c>
      <c r="J11" s="108">
        <f>VLOOKUP(A:A,'Daily Change'!A:F,6,)</f>
        <v>1.3174999999999999</v>
      </c>
      <c r="K11" s="108">
        <f t="shared" si="4"/>
        <v>1.9607903703561722E-2</v>
      </c>
      <c r="L11" s="97">
        <f t="shared" si="7"/>
        <v>-0.25653827013038721</v>
      </c>
      <c r="M11" s="10"/>
      <c r="N11" s="10"/>
      <c r="O11" s="10"/>
      <c r="Q11" s="11" t="s">
        <v>58</v>
      </c>
      <c r="Z11" s="10"/>
      <c r="AA11" s="10"/>
    </row>
    <row r="12" spans="1:27" x14ac:dyDescent="0.2">
      <c r="A12" s="211" t="s">
        <v>72</v>
      </c>
      <c r="B12" s="11">
        <f>_xlfn.XLOOKUP(A12,'Daily Change'!A:A,'Daily Change'!C:C,,0)</f>
        <v>45.9</v>
      </c>
      <c r="C12" s="8">
        <f>IFERROR(VLOOKUP(A12,Ledger!$J$3:$L$237,2,FALSE),0)</f>
        <v>1110</v>
      </c>
      <c r="D12" s="7">
        <f t="shared" si="0"/>
        <v>50949</v>
      </c>
      <c r="E12" s="7">
        <f>IFERROR(VLOOKUP(A12,Ledger!$J$3:$L$53,3,FALSE),0)</f>
        <v>44.376576576576575</v>
      </c>
      <c r="F12" s="7">
        <f t="shared" si="1"/>
        <v>49258</v>
      </c>
      <c r="G12" s="7">
        <v>0</v>
      </c>
      <c r="H12" s="7">
        <f t="shared" si="2"/>
        <v>1691</v>
      </c>
      <c r="I12" s="9">
        <f t="shared" si="3"/>
        <v>5.0756444262273333E-2</v>
      </c>
      <c r="J12" s="108">
        <f>VLOOKUP(A:A,'Daily Change'!A:F,6,)</f>
        <v>1.6476</v>
      </c>
      <c r="K12" s="108">
        <f t="shared" si="4"/>
        <v>8.3626317566521544E-2</v>
      </c>
      <c r="L12" s="97">
        <f t="shared" si="7"/>
        <v>3.4329449023508873E-2</v>
      </c>
      <c r="M12" s="10"/>
      <c r="N12" s="10"/>
      <c r="O12" s="10"/>
      <c r="Q12" s="11" t="s">
        <v>58</v>
      </c>
      <c r="Z12" s="10"/>
      <c r="AA12" s="10"/>
    </row>
    <row r="13" spans="1:27" x14ac:dyDescent="0.2">
      <c r="A13" s="211" t="s">
        <v>73</v>
      </c>
      <c r="B13" s="11">
        <f>_xlfn.XLOOKUP(A13,'Daily Change'!A:A,'Daily Change'!C:C,,0)</f>
        <v>78.33</v>
      </c>
      <c r="C13" s="8">
        <f>IFERROR(VLOOKUP(A13,Ledger!$J$3:$L$237,2,FALSE),0)</f>
        <v>240</v>
      </c>
      <c r="D13" s="7">
        <f t="shared" si="0"/>
        <v>18799.2</v>
      </c>
      <c r="E13" s="7">
        <f>IFERROR(VLOOKUP(A13,Ledger!$J$3:$L$53,3,FALSE),0)</f>
        <v>101.66666666666667</v>
      </c>
      <c r="F13" s="7">
        <f t="shared" si="1"/>
        <v>24400</v>
      </c>
      <c r="G13" s="7">
        <v>0</v>
      </c>
      <c r="H13" s="7">
        <f t="shared" si="2"/>
        <v>-5600.7999999999993</v>
      </c>
      <c r="I13" s="9">
        <f t="shared" si="3"/>
        <v>1.8728150640352683E-2</v>
      </c>
      <c r="J13" s="108">
        <f>VLOOKUP(A:A,'Daily Change'!A:F,6,)</f>
        <v>1.9948999999999999</v>
      </c>
      <c r="K13" s="108">
        <f t="shared" si="4"/>
        <v>3.7360787712439565E-2</v>
      </c>
      <c r="L13" s="97">
        <f t="shared" si="7"/>
        <v>-0.22954098360655734</v>
      </c>
      <c r="M13" s="10"/>
      <c r="N13" s="10"/>
      <c r="O13" s="10"/>
      <c r="Q13" s="11" t="s">
        <v>65</v>
      </c>
      <c r="Z13" s="10"/>
      <c r="AA13" s="10"/>
    </row>
    <row r="14" spans="1:27" x14ac:dyDescent="0.2">
      <c r="A14" s="211" t="s">
        <v>74</v>
      </c>
      <c r="B14" s="11">
        <f>_xlfn.XLOOKUP(A14,'Daily Change'!A:A,'Daily Change'!C:C,,0)</f>
        <v>278.39999999999998</v>
      </c>
      <c r="C14" s="8">
        <f>IFERROR(VLOOKUP(A14,Ledger!$J$3:$L$237,2,FALSE),0)</f>
        <v>130</v>
      </c>
      <c r="D14" s="7">
        <f t="shared" si="0"/>
        <v>36192</v>
      </c>
      <c r="E14" s="7">
        <f>IFERROR(VLOOKUP(A14,Ledger!$J$3:$L$53,3,FALSE),0)</f>
        <v>297.94615384615383</v>
      </c>
      <c r="F14" s="7">
        <f t="shared" si="1"/>
        <v>38733</v>
      </c>
      <c r="G14" s="7">
        <v>0</v>
      </c>
      <c r="H14" s="7">
        <f t="shared" si="2"/>
        <v>-2541</v>
      </c>
      <c r="I14" s="9">
        <f t="shared" si="3"/>
        <v>3.605521660366634E-2</v>
      </c>
      <c r="J14" s="108">
        <f>VLOOKUP(A:A,'Daily Change'!A:F,6,)</f>
        <v>1.3201000000000001</v>
      </c>
      <c r="K14" s="108">
        <f t="shared" si="4"/>
        <v>4.7596491438499935E-2</v>
      </c>
      <c r="L14" s="97">
        <f t="shared" si="7"/>
        <v>-6.5602974208039649E-2</v>
      </c>
      <c r="M14" s="10"/>
      <c r="N14" s="10"/>
      <c r="O14" s="10"/>
      <c r="Q14" s="11" t="s">
        <v>65</v>
      </c>
      <c r="Z14" s="10"/>
      <c r="AA14" s="10"/>
    </row>
    <row r="15" spans="1:27" x14ac:dyDescent="0.2">
      <c r="A15" s="211" t="s">
        <v>75</v>
      </c>
      <c r="B15" s="11">
        <f>_xlfn.XLOOKUP(A15,'Daily Change'!A:A,'Daily Change'!C:C,,0)</f>
        <v>117.72</v>
      </c>
      <c r="C15" s="8">
        <f>IFERROR(VLOOKUP(A15,Ledger!$J$3:$L$237,2,FALSE),0)</f>
        <v>2430</v>
      </c>
      <c r="D15" s="7">
        <f t="shared" si="0"/>
        <v>286059.59999999998</v>
      </c>
      <c r="E15" s="7">
        <f>IFERROR(VLOOKUP(A15,Ledger!$J$3:$L$53,3,FALSE),0)</f>
        <v>117.33281481481481</v>
      </c>
      <c r="F15" s="7">
        <f t="shared" si="1"/>
        <v>285118.74</v>
      </c>
      <c r="G15" s="7">
        <v>0</v>
      </c>
      <c r="H15" s="7">
        <f t="shared" si="2"/>
        <v>940.85999999998603</v>
      </c>
      <c r="I15" s="9">
        <f t="shared" si="3"/>
        <v>0.28497847147320265</v>
      </c>
      <c r="J15" s="108">
        <f>VLOOKUP(A:A,'Daily Change'!A:F,6,)</f>
        <v>0.49740000000000001</v>
      </c>
      <c r="K15" s="108">
        <f t="shared" si="4"/>
        <v>0.141748291710771</v>
      </c>
      <c r="L15" s="97">
        <f t="shared" si="7"/>
        <v>3.2998883202134876E-3</v>
      </c>
      <c r="M15" s="10"/>
      <c r="N15" s="10"/>
      <c r="O15" s="10"/>
      <c r="Q15" s="11" t="s">
        <v>60</v>
      </c>
      <c r="Z15" s="10"/>
      <c r="AA15" s="10"/>
    </row>
    <row r="16" spans="1:27" x14ac:dyDescent="0.2">
      <c r="A16" s="211" t="s">
        <v>76</v>
      </c>
      <c r="B16" s="11">
        <f>_xlfn.XLOOKUP(A16,'Daily Change'!A:A,'Daily Change'!C:C,,0)</f>
        <v>3.75</v>
      </c>
      <c r="C16" s="8">
        <f>IFERROR(VLOOKUP(A16,Ledger!$J$3:$L$237,2,FALSE),0)</f>
        <v>3500</v>
      </c>
      <c r="D16" s="7">
        <f>(C16*B16)</f>
        <v>13125</v>
      </c>
      <c r="E16" s="7">
        <f>IFERROR(VLOOKUP(A16,Ledger!$J$3:$L$53,3,FALSE),0)</f>
        <v>8.878971428571429</v>
      </c>
      <c r="F16" s="7">
        <f>(E16*C16)</f>
        <v>31076.400000000001</v>
      </c>
      <c r="G16" s="7">
        <v>0</v>
      </c>
      <c r="H16" s="7">
        <f t="shared" si="2"/>
        <v>-17951.400000000001</v>
      </c>
      <c r="I16" s="9">
        <f t="shared" si="3"/>
        <v>1.3075395610165802E-2</v>
      </c>
      <c r="J16" s="108">
        <f>VLOOKUP(A:A,'Daily Change'!A:F,6,)</f>
        <v>7.0902000000000003</v>
      </c>
      <c r="K16" s="108">
        <f t="shared" si="4"/>
        <v>9.2707169955197566E-2</v>
      </c>
      <c r="L16" s="97">
        <f t="shared" si="7"/>
        <v>-0.57765378229138509</v>
      </c>
      <c r="M16" s="10"/>
      <c r="N16" s="10"/>
      <c r="O16" s="10"/>
      <c r="Q16" s="11" t="s">
        <v>67</v>
      </c>
      <c r="Z16" s="10"/>
      <c r="AA16" s="10"/>
    </row>
    <row r="17" spans="1:27" x14ac:dyDescent="0.2">
      <c r="A17" s="211" t="s">
        <v>77</v>
      </c>
      <c r="B17" s="11">
        <f>_xlfn.XLOOKUP(A17,'Daily Change'!A:A,'Daily Change'!C:C,,0)</f>
        <v>208.63</v>
      </c>
      <c r="C17" s="8">
        <f>IFERROR(VLOOKUP(A17,Ledger!$J$3:$L$237,2,FALSE),0)</f>
        <v>1200</v>
      </c>
      <c r="D17" s="7">
        <f>(C17*B17)</f>
        <v>250356</v>
      </c>
      <c r="E17" s="7">
        <f>IFERROR(VLOOKUP(A17,Ledger!$J$3:$L$53,3,FALSE),0)</f>
        <v>201.74955833333334</v>
      </c>
      <c r="F17" s="7">
        <f>(E17*C17)</f>
        <v>242099.47</v>
      </c>
      <c r="G17" s="7">
        <v>0</v>
      </c>
      <c r="H17" s="7">
        <f t="shared" ref="H17" si="8">D17-F17+G17</f>
        <v>8256.5299999999988</v>
      </c>
      <c r="I17" s="9">
        <f t="shared" ref="I17" si="9">D17/$D$19</f>
        <v>0.24940980901932722</v>
      </c>
      <c r="J17" s="108">
        <f>VLOOKUP(A:A,'Daily Change'!A:F,6,)</f>
        <v>0</v>
      </c>
      <c r="K17" s="108">
        <f t="shared" ref="K17" si="10">J17*I17</f>
        <v>0</v>
      </c>
      <c r="L17" s="97">
        <f t="shared" ref="L17" si="11">H17/F17</f>
        <v>3.410387474206366E-2</v>
      </c>
      <c r="M17" s="10"/>
      <c r="N17" s="10"/>
      <c r="O17" s="10"/>
      <c r="Z17" s="10"/>
      <c r="AA17" s="10"/>
    </row>
    <row r="18" spans="1:27" x14ac:dyDescent="0.2">
      <c r="A18" s="211" t="s">
        <v>78</v>
      </c>
      <c r="B18" s="11">
        <f>_xlfn.XLOOKUP(A18,'Daily Change'!A:A,'Daily Change'!C:C,,0)</f>
        <v>27.59</v>
      </c>
      <c r="C18" s="8">
        <f>IFERROR(VLOOKUP(A18,Ledger!$J$3:$L$237,2,FALSE),0)</f>
        <v>600</v>
      </c>
      <c r="D18" s="7">
        <f>(C18*B18)</f>
        <v>16554</v>
      </c>
      <c r="E18" s="7">
        <f>IFERROR(VLOOKUP(A18,Ledger!$J$3:$L$53,3,FALSE),0)</f>
        <v>70.856433333333328</v>
      </c>
      <c r="F18" s="7">
        <f>(E18*C18)</f>
        <v>42513.859999999993</v>
      </c>
      <c r="G18" s="7">
        <v>0</v>
      </c>
      <c r="H18" s="7">
        <f t="shared" si="2"/>
        <v>-25959.859999999993</v>
      </c>
      <c r="I18" s="9">
        <f t="shared" si="3"/>
        <v>1.6491436109004547E-2</v>
      </c>
      <c r="J18" s="108">
        <f>VLOOKUP(A:A,'Daily Change'!A:F,6,)</f>
        <v>5.577</v>
      </c>
      <c r="K18" s="108">
        <f t="shared" si="4"/>
        <v>9.1972739179918356E-2</v>
      </c>
      <c r="L18" s="97">
        <f t="shared" si="7"/>
        <v>-0.61062110097742239</v>
      </c>
      <c r="M18" s="10"/>
      <c r="N18" s="10"/>
      <c r="O18" s="10"/>
      <c r="Q18" s="11" t="s">
        <v>65</v>
      </c>
      <c r="Z18" s="10"/>
      <c r="AA18" s="10"/>
    </row>
    <row r="19" spans="1:27" x14ac:dyDescent="0.2">
      <c r="A19" s="190"/>
      <c r="B19" s="191"/>
      <c r="C19" s="192"/>
      <c r="D19" s="193">
        <f>SUM(D2:D18)</f>
        <v>1003793.72</v>
      </c>
      <c r="E19" s="194"/>
      <c r="F19" s="193">
        <f>SUM(F2:F18)</f>
        <v>996049.09999999986</v>
      </c>
      <c r="G19" s="193">
        <f>SUM(G2:G18)</f>
        <v>644.51</v>
      </c>
      <c r="H19" s="193">
        <f>SUM(H2:H18)</f>
        <v>8389.1299999999901</v>
      </c>
      <c r="I19" s="192"/>
      <c r="J19" s="192"/>
      <c r="K19" s="192">
        <f>SUM(K2:K18)</f>
        <v>0.8579090472861296</v>
      </c>
      <c r="L19" s="195"/>
      <c r="M19" s="10"/>
      <c r="N19" s="10"/>
      <c r="O19" s="10"/>
      <c r="Z19" s="10"/>
      <c r="AA19" s="10"/>
    </row>
    <row r="20" spans="1:27" x14ac:dyDescent="0.2">
      <c r="A20" s="13"/>
      <c r="B20" s="14"/>
      <c r="C20" s="196" t="s">
        <v>79</v>
      </c>
      <c r="D20" s="197">
        <f>Ledger!F117</f>
        <v>90397.529999999824</v>
      </c>
      <c r="E20" s="198"/>
      <c r="F20" s="198"/>
      <c r="G20" s="198"/>
      <c r="H20" s="198"/>
      <c r="I20" s="198"/>
      <c r="J20" s="198"/>
      <c r="K20" s="198"/>
      <c r="L20" s="16"/>
      <c r="M20" s="10"/>
      <c r="N20" s="10"/>
      <c r="O20" s="10"/>
      <c r="Z20" s="10"/>
      <c r="AA20" s="10"/>
    </row>
    <row r="21" spans="1:27" x14ac:dyDescent="0.2">
      <c r="A21" s="13"/>
      <c r="B21" s="14"/>
      <c r="C21" s="17" t="s">
        <v>80</v>
      </c>
      <c r="D21" s="18">
        <f>D20+D19</f>
        <v>1094191.2499999998</v>
      </c>
      <c r="E21" s="15"/>
      <c r="F21" s="15"/>
      <c r="G21" s="15"/>
      <c r="L21" s="16"/>
      <c r="M21" s="10"/>
      <c r="N21" s="10"/>
      <c r="O21" s="10"/>
      <c r="Z21" s="10"/>
      <c r="AA21" s="10"/>
    </row>
    <row r="22" spans="1:27" x14ac:dyDescent="0.2">
      <c r="A22" s="13"/>
      <c r="B22" s="14"/>
      <c r="C22" s="17" t="s">
        <v>81</v>
      </c>
      <c r="D22" s="18">
        <f ca="1">VLOOKUP(Dashboard!B1-1,NAV!B1:H800,4,FALSE)</f>
        <v>0</v>
      </c>
      <c r="E22" s="15"/>
      <c r="F22" s="15"/>
      <c r="G22" s="15"/>
      <c r="H22" s="222"/>
      <c r="L22" s="16"/>
      <c r="M22" s="10"/>
      <c r="N22" s="10"/>
      <c r="O22" s="10"/>
      <c r="Z22" s="10"/>
      <c r="AA22" s="10"/>
    </row>
    <row r="23" spans="1:27" ht="15" thickBot="1" x14ac:dyDescent="0.25">
      <c r="A23" s="13"/>
      <c r="B23" s="14"/>
      <c r="C23" s="17" t="s">
        <v>82</v>
      </c>
      <c r="D23" s="18">
        <f ca="1">IFERROR(INDEX(Subscription!$C$2:$C$1048576,MATCH(Dashboard!B1-1,Subscription!$A$2:$A$1048576,0)),0)</f>
        <v>0</v>
      </c>
      <c r="E23" s="15"/>
      <c r="F23" s="15"/>
      <c r="G23" s="15"/>
      <c r="L23" s="16"/>
      <c r="M23" s="10"/>
      <c r="N23" s="10"/>
      <c r="O23" s="10"/>
      <c r="Z23" s="10"/>
      <c r="AA23" s="10"/>
    </row>
    <row r="24" spans="1:27" ht="15" thickBot="1" x14ac:dyDescent="0.25">
      <c r="A24" s="19"/>
      <c r="B24" s="20"/>
      <c r="C24" s="21" t="s">
        <v>83</v>
      </c>
      <c r="D24" s="22">
        <f ca="1">D21-D22</f>
        <v>1094191.2499999998</v>
      </c>
      <c r="E24" s="23" t="e">
        <f ca="1">D24/D22</f>
        <v>#DIV/0!</v>
      </c>
      <c r="F24" s="24"/>
      <c r="G24" s="24"/>
      <c r="H24" s="24"/>
      <c r="I24" s="24"/>
      <c r="J24" s="24"/>
      <c r="K24" s="24"/>
      <c r="L24" s="25"/>
      <c r="M24" s="10"/>
      <c r="N24" s="10"/>
      <c r="O24" s="10"/>
      <c r="Z24" s="10"/>
      <c r="AA24" s="10"/>
    </row>
    <row r="25" spans="1:27" x14ac:dyDescent="0.2">
      <c r="M25" s="10"/>
      <c r="N25" s="10"/>
      <c r="O25" s="10"/>
      <c r="Z25" s="10"/>
      <c r="AA25" s="10"/>
    </row>
    <row r="26" spans="1:27" x14ac:dyDescent="0.2">
      <c r="B26" s="11">
        <f>_xlfn.XLOOKUP(A2,'Daily Change'!A:A,'Daily Change'!C:C,,0)</f>
        <v>92.28</v>
      </c>
      <c r="D26" s="263"/>
      <c r="E26" s="263"/>
      <c r="F26" s="31"/>
      <c r="G26" s="31"/>
      <c r="N26" s="10"/>
      <c r="O26" s="10"/>
      <c r="Z26" s="10"/>
      <c r="AA26" s="10"/>
    </row>
    <row r="27" spans="1:27" ht="15" x14ac:dyDescent="0.25">
      <c r="C27" s="265"/>
      <c r="D27" s="266"/>
      <c r="E27" s="265"/>
      <c r="F27" s="267"/>
      <c r="G27" s="267"/>
      <c r="M27" s="10"/>
      <c r="N27" s="10"/>
    </row>
    <row r="28" spans="1:27" x14ac:dyDescent="0.2">
      <c r="C28" s="222"/>
      <c r="G28" s="12"/>
    </row>
    <row r="29" spans="1:27" x14ac:dyDescent="0.2">
      <c r="C29" s="222"/>
      <c r="D29" s="263"/>
      <c r="G29" s="12"/>
    </row>
    <row r="30" spans="1:27" x14ac:dyDescent="0.2">
      <c r="E30" s="263"/>
    </row>
    <row r="33" spans="4:4" x14ac:dyDescent="0.2">
      <c r="D33" s="263"/>
    </row>
    <row r="34" spans="4:4" x14ac:dyDescent="0.2">
      <c r="D34" s="263"/>
    </row>
    <row r="35" spans="4:4" x14ac:dyDescent="0.2">
      <c r="D35" s="276"/>
    </row>
  </sheetData>
  <conditionalFormatting sqref="E24">
    <cfRule type="iconSet" priority="2">
      <iconSet iconSet="3Arrows">
        <cfvo type="percent" val="0"/>
        <cfvo type="num" val="0"/>
        <cfvo type="num" val="0"/>
      </iconSet>
    </cfRule>
  </conditionalFormatting>
  <conditionalFormatting sqref="L2:L18">
    <cfRule type="cellIs" dxfId="0" priority="1" operator="greaterThan">
      <formula>0</formula>
    </cfRule>
  </conditionalFormatting>
  <hyperlinks>
    <hyperlink ref="A3" location="'Portfolio Snapshot'!C91" display="'Portfolio Snapshot'!C91" xr:uid="{E578245C-16B0-44C5-A99E-F7F3699321DD}"/>
    <hyperlink ref="A4" location="'Portfolio Snapshot'!C107" display="'Portfolio Snapshot'!C107" xr:uid="{C5ED3118-6715-40EF-B678-B490EB8B9011}"/>
    <hyperlink ref="A5" location="'Portfolio Snapshot'!C111" display="'Portfolio Snapshot'!C111" xr:uid="{A09F3D16-8832-4D5B-AC92-BF908C26D476}"/>
  </hyperlinks>
  <pageMargins left="0.25" right="0.25" top="0.75" bottom="0.75" header="0.3" footer="0.3"/>
  <pageSetup paperSize="9" scale="5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8867E-93A8-46AA-AD83-63D6AD91ACB7}">
  <dimension ref="A1:N854"/>
  <sheetViews>
    <sheetView topLeftCell="A551" zoomScale="90" zoomScaleNormal="90" workbookViewId="0">
      <pane ySplit="1" topLeftCell="A744" activePane="bottomLeft" state="frozen"/>
      <selection activeCell="A551" sqref="A551"/>
      <selection pane="bottomLeft" activeCell="E588" sqref="E588"/>
    </sheetView>
  </sheetViews>
  <sheetFormatPr defaultRowHeight="15" x14ac:dyDescent="0.25"/>
  <cols>
    <col min="2" max="2" width="31.5703125" bestFit="1" customWidth="1"/>
    <col min="3" max="3" width="14.140625" bestFit="1" customWidth="1"/>
    <col min="4" max="4" width="15.28515625" bestFit="1" customWidth="1"/>
    <col min="5" max="5" width="14.140625" bestFit="1" customWidth="1"/>
    <col min="6" max="6" width="19.5703125" bestFit="1" customWidth="1"/>
    <col min="7" max="7" width="17.42578125" bestFit="1" customWidth="1"/>
    <col min="8" max="8" width="13" style="10" bestFit="1" customWidth="1"/>
    <col min="9" max="9" width="12.28515625" style="10" bestFit="1" customWidth="1"/>
    <col min="10" max="10" width="11.7109375" bestFit="1" customWidth="1"/>
    <col min="11" max="12" width="24" bestFit="1" customWidth="1"/>
    <col min="13" max="13" width="11.5703125" bestFit="1" customWidth="1"/>
    <col min="14" max="14" width="11.7109375" bestFit="1" customWidth="1"/>
    <col min="15" max="15" width="13" bestFit="1" customWidth="1"/>
    <col min="16" max="16" width="11.7109375" bestFit="1" customWidth="1"/>
    <col min="17" max="18" width="30.28515625" bestFit="1" customWidth="1"/>
  </cols>
  <sheetData>
    <row r="1" spans="1:12" ht="15.75" hidden="1" thickBot="1" x14ac:dyDescent="0.3">
      <c r="A1" s="35" t="s">
        <v>84</v>
      </c>
      <c r="B1" s="35" t="s">
        <v>3</v>
      </c>
      <c r="C1" s="36" t="s">
        <v>85</v>
      </c>
      <c r="D1" s="37" t="s">
        <v>86</v>
      </c>
      <c r="E1" s="37" t="s">
        <v>87</v>
      </c>
      <c r="F1" s="37" t="s">
        <v>88</v>
      </c>
      <c r="G1" s="38" t="s">
        <v>89</v>
      </c>
      <c r="H1" s="158" t="s">
        <v>90</v>
      </c>
      <c r="I1" s="158" t="s">
        <v>7</v>
      </c>
      <c r="J1" s="158" t="s">
        <v>91</v>
      </c>
      <c r="K1" s="158" t="s">
        <v>92</v>
      </c>
      <c r="L1" s="158" t="s">
        <v>93</v>
      </c>
    </row>
    <row r="2" spans="1:12" ht="17.25" hidden="1" thickBot="1" x14ac:dyDescent="0.3">
      <c r="A2">
        <v>3</v>
      </c>
      <c r="B2" s="27">
        <v>45475</v>
      </c>
      <c r="C2" s="175">
        <v>300000</v>
      </c>
      <c r="D2" s="29">
        <v>0</v>
      </c>
      <c r="E2" s="30">
        <f t="shared" ref="E2:E33" si="0">C2-D2</f>
        <v>300000</v>
      </c>
      <c r="F2" s="28">
        <v>30000</v>
      </c>
      <c r="G2" s="28">
        <f t="shared" ref="G2:G33" si="1">E2/F2</f>
        <v>10</v>
      </c>
      <c r="H2" s="65"/>
      <c r="I2" s="72"/>
      <c r="J2" s="95">
        <v>148.58000000000001</v>
      </c>
      <c r="K2" s="177"/>
    </row>
    <row r="3" spans="1:12" ht="15.75" hidden="1" thickBot="1" x14ac:dyDescent="0.3">
      <c r="A3">
        <v>3</v>
      </c>
      <c r="B3" s="27">
        <v>45476</v>
      </c>
      <c r="C3" s="175">
        <v>298549.51880600001</v>
      </c>
      <c r="D3" s="29">
        <v>0</v>
      </c>
      <c r="E3" s="30">
        <f t="shared" si="0"/>
        <v>298549.51880600001</v>
      </c>
      <c r="F3" s="28">
        <v>30000</v>
      </c>
      <c r="G3" s="28">
        <f t="shared" si="1"/>
        <v>9.9516506268666678</v>
      </c>
      <c r="H3" s="65">
        <f t="shared" ref="H3:H34" si="2">G3/G2 -1</f>
        <v>-4.8349373133331763E-3</v>
      </c>
      <c r="I3" s="72">
        <f t="shared" ref="I3:I34" si="3">G3/$G$2-1</f>
        <v>-4.8349373133331763E-3</v>
      </c>
      <c r="J3" s="95">
        <v>149.59</v>
      </c>
      <c r="K3" s="65">
        <f t="shared" ref="K3:K34" si="4">J3/J2 -1</f>
        <v>6.7976847489568115E-3</v>
      </c>
      <c r="L3" s="72">
        <f t="shared" ref="L3:L34" si="5">J3/$J$2-1</f>
        <v>6.7976847489568115E-3</v>
      </c>
    </row>
    <row r="4" spans="1:12" ht="15.75" hidden="1" thickBot="1" x14ac:dyDescent="0.3">
      <c r="A4">
        <v>3</v>
      </c>
      <c r="B4" s="27">
        <v>45477</v>
      </c>
      <c r="C4" s="175">
        <v>298549.51880600001</v>
      </c>
      <c r="D4" s="29">
        <v>0</v>
      </c>
      <c r="E4" s="30">
        <f t="shared" si="0"/>
        <v>298549.51880600001</v>
      </c>
      <c r="F4" s="28">
        <v>30000</v>
      </c>
      <c r="G4" s="28">
        <f t="shared" si="1"/>
        <v>9.9516506268666678</v>
      </c>
      <c r="H4" s="65">
        <f t="shared" si="2"/>
        <v>0</v>
      </c>
      <c r="I4" s="72">
        <f t="shared" si="3"/>
        <v>-4.8349373133331763E-3</v>
      </c>
      <c r="J4" s="95">
        <v>149.59</v>
      </c>
      <c r="K4" s="65">
        <f t="shared" si="4"/>
        <v>0</v>
      </c>
      <c r="L4" s="72">
        <f t="shared" si="5"/>
        <v>6.7976847489568115E-3</v>
      </c>
    </row>
    <row r="5" spans="1:12" ht="15.75" hidden="1" thickBot="1" x14ac:dyDescent="0.3">
      <c r="A5">
        <v>3</v>
      </c>
      <c r="B5" s="27">
        <v>45478</v>
      </c>
      <c r="C5" s="175">
        <v>298678.08901599998</v>
      </c>
      <c r="D5" s="29">
        <v>0</v>
      </c>
      <c r="E5" s="30">
        <f t="shared" si="0"/>
        <v>298678.08901599998</v>
      </c>
      <c r="F5" s="28">
        <v>30000</v>
      </c>
      <c r="G5" s="28">
        <f t="shared" si="1"/>
        <v>9.9559363005333328</v>
      </c>
      <c r="H5" s="65">
        <f t="shared" si="2"/>
        <v>4.3064953014870788E-4</v>
      </c>
      <c r="I5" s="72">
        <f t="shared" si="3"/>
        <v>-4.4063699466667661E-3</v>
      </c>
      <c r="J5" s="95">
        <v>150.5</v>
      </c>
      <c r="K5" s="65">
        <f t="shared" si="4"/>
        <v>6.0832943378568149E-3</v>
      </c>
      <c r="L5" s="72">
        <f t="shared" si="5"/>
        <v>1.2922331403957488E-2</v>
      </c>
    </row>
    <row r="6" spans="1:12" ht="15.75" hidden="1" thickBot="1" x14ac:dyDescent="0.3">
      <c r="A6">
        <v>3</v>
      </c>
      <c r="B6" s="27">
        <v>45479</v>
      </c>
      <c r="C6" s="175">
        <v>298678.08901599998</v>
      </c>
      <c r="D6" s="29">
        <v>0</v>
      </c>
      <c r="E6" s="30">
        <f t="shared" si="0"/>
        <v>298678.08901599998</v>
      </c>
      <c r="F6" s="28">
        <v>30000</v>
      </c>
      <c r="G6" s="28">
        <f t="shared" si="1"/>
        <v>9.9559363005333328</v>
      </c>
      <c r="H6" s="65">
        <f t="shared" si="2"/>
        <v>0</v>
      </c>
      <c r="I6" s="72">
        <f t="shared" si="3"/>
        <v>-4.4063699466667661E-3</v>
      </c>
      <c r="J6" s="95">
        <v>150.5</v>
      </c>
      <c r="K6" s="65">
        <f t="shared" si="4"/>
        <v>0</v>
      </c>
      <c r="L6" s="72">
        <f t="shared" si="5"/>
        <v>1.2922331403957488E-2</v>
      </c>
    </row>
    <row r="7" spans="1:12" ht="15.75" hidden="1" thickBot="1" x14ac:dyDescent="0.3">
      <c r="A7">
        <v>3</v>
      </c>
      <c r="B7" s="27">
        <v>45480</v>
      </c>
      <c r="C7" s="175">
        <v>298678.08901599998</v>
      </c>
      <c r="D7" s="29">
        <v>0</v>
      </c>
      <c r="E7" s="30">
        <f t="shared" si="0"/>
        <v>298678.08901599998</v>
      </c>
      <c r="F7" s="28">
        <v>30000</v>
      </c>
      <c r="G7" s="28">
        <f t="shared" si="1"/>
        <v>9.9559363005333328</v>
      </c>
      <c r="H7" s="65">
        <f t="shared" si="2"/>
        <v>0</v>
      </c>
      <c r="I7" s="72">
        <f t="shared" si="3"/>
        <v>-4.4063699466667661E-3</v>
      </c>
      <c r="J7" s="95">
        <v>150.5</v>
      </c>
      <c r="K7" s="65">
        <f t="shared" si="4"/>
        <v>0</v>
      </c>
      <c r="L7" s="72">
        <f t="shared" si="5"/>
        <v>1.2922331403957488E-2</v>
      </c>
    </row>
    <row r="8" spans="1:12" ht="15.75" hidden="1" thickBot="1" x14ac:dyDescent="0.3">
      <c r="A8">
        <v>3</v>
      </c>
      <c r="B8" s="27">
        <v>45481</v>
      </c>
      <c r="C8" s="175">
        <v>298506.34883099998</v>
      </c>
      <c r="D8" s="29">
        <v>0</v>
      </c>
      <c r="E8" s="30">
        <f t="shared" si="0"/>
        <v>298506.34883099998</v>
      </c>
      <c r="F8" s="28">
        <v>30000</v>
      </c>
      <c r="G8" s="28">
        <f t="shared" si="1"/>
        <v>9.9502116276999999</v>
      </c>
      <c r="H8" s="65">
        <f t="shared" si="2"/>
        <v>-5.7500095023976794E-4</v>
      </c>
      <c r="I8" s="72">
        <f t="shared" si="3"/>
        <v>-4.9788372300000328E-3</v>
      </c>
      <c r="J8" s="95">
        <v>150.34</v>
      </c>
      <c r="K8" s="65">
        <f t="shared" si="4"/>
        <v>-1.0631229235880113E-3</v>
      </c>
      <c r="L8" s="72">
        <f t="shared" si="5"/>
        <v>1.1845470453627716E-2</v>
      </c>
    </row>
    <row r="9" spans="1:12" ht="15.75" hidden="1" thickBot="1" x14ac:dyDescent="0.3">
      <c r="A9">
        <v>3</v>
      </c>
      <c r="B9" s="27">
        <v>45482</v>
      </c>
      <c r="C9" s="175">
        <v>298633.43028999999</v>
      </c>
      <c r="D9" s="29">
        <v>0</v>
      </c>
      <c r="E9" s="30">
        <f t="shared" si="0"/>
        <v>298633.43028999999</v>
      </c>
      <c r="F9" s="28">
        <v>30000</v>
      </c>
      <c r="G9" s="28">
        <f t="shared" si="1"/>
        <v>9.9544476763333325</v>
      </c>
      <c r="H9" s="65">
        <f t="shared" si="2"/>
        <v>4.2572447620514708E-4</v>
      </c>
      <c r="I9" s="72">
        <f t="shared" si="3"/>
        <v>-4.5552323666667727E-3</v>
      </c>
      <c r="J9" s="95">
        <v>150.43</v>
      </c>
      <c r="K9" s="65">
        <f t="shared" si="4"/>
        <v>5.9864307569501563E-4</v>
      </c>
      <c r="L9" s="72">
        <f t="shared" si="5"/>
        <v>1.2451204738188171E-2</v>
      </c>
    </row>
    <row r="10" spans="1:12" ht="15.75" hidden="1" thickBot="1" x14ac:dyDescent="0.3">
      <c r="A10">
        <v>3</v>
      </c>
      <c r="B10" s="27">
        <v>45483</v>
      </c>
      <c r="C10" s="175">
        <v>299152.08830399998</v>
      </c>
      <c r="D10" s="29">
        <v>0</v>
      </c>
      <c r="E10" s="30">
        <f t="shared" si="0"/>
        <v>299152.08830399998</v>
      </c>
      <c r="F10" s="28">
        <v>30000</v>
      </c>
      <c r="G10" s="28">
        <f t="shared" si="1"/>
        <v>9.9717362767999997</v>
      </c>
      <c r="H10" s="65">
        <f t="shared" si="2"/>
        <v>1.7367714441627324E-3</v>
      </c>
      <c r="I10" s="72">
        <f t="shared" si="3"/>
        <v>-2.8263723200000479E-3</v>
      </c>
      <c r="J10" s="95">
        <v>152.02000000000001</v>
      </c>
      <c r="K10" s="65">
        <f t="shared" si="4"/>
        <v>1.0569700192780696E-2</v>
      </c>
      <c r="L10" s="72">
        <f t="shared" si="5"/>
        <v>2.3152510432090434E-2</v>
      </c>
    </row>
    <row r="11" spans="1:12" ht="15.75" hidden="1" thickBot="1" x14ac:dyDescent="0.3">
      <c r="A11">
        <v>3</v>
      </c>
      <c r="B11" s="27">
        <v>45484</v>
      </c>
      <c r="C11" s="175">
        <v>300519.63500000001</v>
      </c>
      <c r="D11" s="29">
        <v>0</v>
      </c>
      <c r="E11" s="30">
        <f t="shared" si="0"/>
        <v>300519.63500000001</v>
      </c>
      <c r="F11" s="28">
        <v>30000</v>
      </c>
      <c r="G11" s="28">
        <f t="shared" si="1"/>
        <v>10.017321166666667</v>
      </c>
      <c r="H11" s="65">
        <f t="shared" si="2"/>
        <v>4.5714094919180326E-3</v>
      </c>
      <c r="I11" s="72">
        <f t="shared" si="3"/>
        <v>1.7321166666666166E-3</v>
      </c>
      <c r="J11" s="95">
        <v>151.27000000000001</v>
      </c>
      <c r="K11" s="65">
        <f t="shared" si="4"/>
        <v>-4.9335613735035366E-3</v>
      </c>
      <c r="L11" s="72">
        <f t="shared" si="5"/>
        <v>1.810472472741953E-2</v>
      </c>
    </row>
    <row r="12" spans="1:12" ht="15.75" hidden="1" thickBot="1" x14ac:dyDescent="0.3">
      <c r="A12">
        <v>3</v>
      </c>
      <c r="B12" s="27">
        <v>45485</v>
      </c>
      <c r="C12" s="175">
        <v>301609.11</v>
      </c>
      <c r="D12" s="29">
        <v>0</v>
      </c>
      <c r="E12" s="30">
        <f t="shared" si="0"/>
        <v>301609.11</v>
      </c>
      <c r="F12" s="28">
        <v>30000</v>
      </c>
      <c r="G12" s="28">
        <f t="shared" si="1"/>
        <v>10.053637</v>
      </c>
      <c r="H12" s="65">
        <f t="shared" si="2"/>
        <v>3.6253038840539098E-3</v>
      </c>
      <c r="I12" s="72">
        <f t="shared" si="3"/>
        <v>5.3636999999999713E-3</v>
      </c>
      <c r="J12" s="95">
        <v>152.4</v>
      </c>
      <c r="K12" s="65">
        <f t="shared" si="4"/>
        <v>7.4700866001189414E-3</v>
      </c>
      <c r="L12" s="72">
        <f t="shared" si="5"/>
        <v>2.5710055189123615E-2</v>
      </c>
    </row>
    <row r="13" spans="1:12" ht="15.75" hidden="1" thickBot="1" x14ac:dyDescent="0.3">
      <c r="A13">
        <v>3</v>
      </c>
      <c r="B13" s="27">
        <v>45486</v>
      </c>
      <c r="C13" s="175">
        <v>301609.11</v>
      </c>
      <c r="D13" s="29">
        <v>0</v>
      </c>
      <c r="E13" s="30">
        <f t="shared" si="0"/>
        <v>301609.11</v>
      </c>
      <c r="F13" s="28">
        <v>30000</v>
      </c>
      <c r="G13" s="28">
        <f t="shared" si="1"/>
        <v>10.053637</v>
      </c>
      <c r="H13" s="65">
        <f t="shared" si="2"/>
        <v>0</v>
      </c>
      <c r="I13" s="72">
        <f t="shared" si="3"/>
        <v>5.3636999999999713E-3</v>
      </c>
      <c r="J13" s="95">
        <v>152.4</v>
      </c>
      <c r="K13" s="65">
        <f t="shared" si="4"/>
        <v>0</v>
      </c>
      <c r="L13" s="72">
        <f t="shared" si="5"/>
        <v>2.5710055189123615E-2</v>
      </c>
    </row>
    <row r="14" spans="1:12" ht="15.75" hidden="1" thickBot="1" x14ac:dyDescent="0.3">
      <c r="A14">
        <v>3</v>
      </c>
      <c r="B14" s="27">
        <v>45487</v>
      </c>
      <c r="C14" s="175">
        <v>301609.11</v>
      </c>
      <c r="D14" s="29">
        <v>0</v>
      </c>
      <c r="E14" s="30">
        <f t="shared" si="0"/>
        <v>301609.11</v>
      </c>
      <c r="F14" s="28">
        <v>30000</v>
      </c>
      <c r="G14" s="28">
        <f t="shared" si="1"/>
        <v>10.053637</v>
      </c>
      <c r="H14" s="65">
        <f t="shared" si="2"/>
        <v>0</v>
      </c>
      <c r="I14" s="72">
        <f t="shared" si="3"/>
        <v>5.3636999999999713E-3</v>
      </c>
      <c r="J14" s="95">
        <v>152.4</v>
      </c>
      <c r="K14" s="65">
        <f t="shared" si="4"/>
        <v>0</v>
      </c>
      <c r="L14" s="72">
        <f t="shared" si="5"/>
        <v>2.5710055189123615E-2</v>
      </c>
    </row>
    <row r="15" spans="1:12" ht="15.75" hidden="1" thickBot="1" x14ac:dyDescent="0.3">
      <c r="A15">
        <v>3</v>
      </c>
      <c r="B15" s="27">
        <v>45488</v>
      </c>
      <c r="C15" s="175">
        <v>301607.63</v>
      </c>
      <c r="D15" s="29">
        <v>0</v>
      </c>
      <c r="E15" s="30">
        <f t="shared" si="0"/>
        <v>301607.63</v>
      </c>
      <c r="F15" s="28">
        <v>30000</v>
      </c>
      <c r="G15" s="28">
        <f t="shared" si="1"/>
        <v>10.053587666666667</v>
      </c>
      <c r="H15" s="65">
        <f t="shared" si="2"/>
        <v>-4.9070135845763474E-6</v>
      </c>
      <c r="I15" s="72">
        <f t="shared" si="3"/>
        <v>5.3587666666667921E-3</v>
      </c>
      <c r="J15" s="95">
        <v>152.41</v>
      </c>
      <c r="K15" s="65">
        <f t="shared" si="4"/>
        <v>6.5616797900291957E-5</v>
      </c>
      <c r="L15" s="72">
        <f t="shared" si="5"/>
        <v>2.5777358998519295E-2</v>
      </c>
    </row>
    <row r="16" spans="1:12" ht="15.75" hidden="1" thickBot="1" x14ac:dyDescent="0.3">
      <c r="A16">
        <v>3</v>
      </c>
      <c r="B16" s="27">
        <v>45489</v>
      </c>
      <c r="C16" s="175">
        <v>302524.88</v>
      </c>
      <c r="D16" s="29">
        <v>0</v>
      </c>
      <c r="E16" s="30">
        <f t="shared" si="0"/>
        <v>302524.88</v>
      </c>
      <c r="F16" s="28">
        <v>30000</v>
      </c>
      <c r="G16" s="28">
        <f t="shared" si="1"/>
        <v>10.084162666666666</v>
      </c>
      <c r="H16" s="65">
        <f t="shared" si="2"/>
        <v>3.04120290325538E-3</v>
      </c>
      <c r="I16" s="72">
        <f t="shared" si="3"/>
        <v>8.4162666666665054E-3</v>
      </c>
      <c r="J16" s="95">
        <v>153.30000000000001</v>
      </c>
      <c r="K16" s="65">
        <f t="shared" si="4"/>
        <v>5.8395118430549786E-3</v>
      </c>
      <c r="L16" s="72">
        <f t="shared" si="5"/>
        <v>3.1767398034728833E-2</v>
      </c>
    </row>
    <row r="17" spans="1:12" ht="15.75" hidden="1" thickBot="1" x14ac:dyDescent="0.3">
      <c r="A17">
        <v>3</v>
      </c>
      <c r="B17" s="27">
        <v>45490</v>
      </c>
      <c r="C17" s="175">
        <v>302052.39999999997</v>
      </c>
      <c r="D17" s="29">
        <v>0</v>
      </c>
      <c r="E17" s="30">
        <f t="shared" si="0"/>
        <v>302052.39999999997</v>
      </c>
      <c r="F17" s="28">
        <v>30000</v>
      </c>
      <c r="G17" s="28">
        <f t="shared" si="1"/>
        <v>10.068413333333332</v>
      </c>
      <c r="H17" s="65">
        <f t="shared" si="2"/>
        <v>-1.561788901461636E-3</v>
      </c>
      <c r="I17" s="72">
        <f t="shared" si="3"/>
        <v>6.8413333333332549E-3</v>
      </c>
      <c r="J17" s="95">
        <v>151.6</v>
      </c>
      <c r="K17" s="65">
        <f t="shared" si="4"/>
        <v>-1.108936725375087E-2</v>
      </c>
      <c r="L17" s="72">
        <f t="shared" si="5"/>
        <v>2.0325750437474532E-2</v>
      </c>
    </row>
    <row r="18" spans="1:12" ht="15.75" hidden="1" thickBot="1" x14ac:dyDescent="0.3">
      <c r="A18">
        <v>3</v>
      </c>
      <c r="B18" s="27">
        <v>45491</v>
      </c>
      <c r="C18" s="175">
        <v>301566.02</v>
      </c>
      <c r="D18" s="29">
        <v>0</v>
      </c>
      <c r="E18" s="30">
        <f t="shared" si="0"/>
        <v>301566.02</v>
      </c>
      <c r="F18" s="28">
        <v>30000</v>
      </c>
      <c r="G18" s="28">
        <f t="shared" si="1"/>
        <v>10.052200666666668</v>
      </c>
      <c r="H18" s="65">
        <f t="shared" si="2"/>
        <v>-1.610250406882785E-3</v>
      </c>
      <c r="I18" s="72">
        <f t="shared" si="3"/>
        <v>5.220066666666856E-3</v>
      </c>
      <c r="J18" s="95">
        <v>150.24</v>
      </c>
      <c r="K18" s="65">
        <f t="shared" si="4"/>
        <v>-8.9709762532980131E-3</v>
      </c>
      <c r="L18" s="72">
        <f t="shared" si="5"/>
        <v>1.117243235967158E-2</v>
      </c>
    </row>
    <row r="19" spans="1:12" ht="15.75" hidden="1" thickBot="1" x14ac:dyDescent="0.3">
      <c r="A19">
        <v>3</v>
      </c>
      <c r="B19" s="27">
        <v>45492</v>
      </c>
      <c r="C19" s="175">
        <v>301434.28499999997</v>
      </c>
      <c r="D19" s="29">
        <v>0</v>
      </c>
      <c r="E19" s="30">
        <f t="shared" si="0"/>
        <v>301434.28499999997</v>
      </c>
      <c r="F19" s="28">
        <v>30000</v>
      </c>
      <c r="G19" s="28">
        <f t="shared" si="1"/>
        <v>10.0478095</v>
      </c>
      <c r="H19" s="65">
        <f t="shared" si="2"/>
        <v>-4.3683635178803915E-4</v>
      </c>
      <c r="I19" s="72">
        <f t="shared" si="3"/>
        <v>4.780950000000006E-3</v>
      </c>
      <c r="J19" s="95">
        <v>149.18</v>
      </c>
      <c r="K19" s="65">
        <f t="shared" si="4"/>
        <v>-7.0553780617678141E-3</v>
      </c>
      <c r="L19" s="72">
        <f t="shared" si="5"/>
        <v>4.03822856373659E-3</v>
      </c>
    </row>
    <row r="20" spans="1:12" ht="15.75" hidden="1" thickBot="1" x14ac:dyDescent="0.3">
      <c r="A20">
        <v>3</v>
      </c>
      <c r="B20" s="27">
        <v>45493</v>
      </c>
      <c r="C20" s="175">
        <v>301434.28499999997</v>
      </c>
      <c r="D20" s="29">
        <v>0</v>
      </c>
      <c r="E20" s="30">
        <f t="shared" si="0"/>
        <v>301434.28499999997</v>
      </c>
      <c r="F20" s="28">
        <v>30000</v>
      </c>
      <c r="G20" s="28">
        <f t="shared" si="1"/>
        <v>10.0478095</v>
      </c>
      <c r="H20" s="65">
        <f t="shared" si="2"/>
        <v>0</v>
      </c>
      <c r="I20" s="72">
        <f t="shared" si="3"/>
        <v>4.780950000000006E-3</v>
      </c>
      <c r="J20" s="95">
        <v>149.18</v>
      </c>
      <c r="K20" s="65">
        <f t="shared" si="4"/>
        <v>0</v>
      </c>
      <c r="L20" s="72">
        <f t="shared" si="5"/>
        <v>4.03822856373659E-3</v>
      </c>
    </row>
    <row r="21" spans="1:12" ht="15.75" hidden="1" thickBot="1" x14ac:dyDescent="0.3">
      <c r="A21">
        <v>3</v>
      </c>
      <c r="B21" s="27">
        <v>45494</v>
      </c>
      <c r="C21" s="175">
        <v>301434.28499999997</v>
      </c>
      <c r="D21" s="29">
        <v>0</v>
      </c>
      <c r="E21" s="30">
        <f t="shared" si="0"/>
        <v>301434.28499999997</v>
      </c>
      <c r="F21" s="28">
        <v>30000</v>
      </c>
      <c r="G21" s="28">
        <f t="shared" si="1"/>
        <v>10.0478095</v>
      </c>
      <c r="H21" s="65">
        <f t="shared" si="2"/>
        <v>0</v>
      </c>
      <c r="I21" s="72">
        <f t="shared" si="3"/>
        <v>4.780950000000006E-3</v>
      </c>
      <c r="J21" s="95">
        <v>149.18</v>
      </c>
      <c r="K21" s="65">
        <f t="shared" si="4"/>
        <v>0</v>
      </c>
      <c r="L21" s="72">
        <f t="shared" si="5"/>
        <v>4.03822856373659E-3</v>
      </c>
    </row>
    <row r="22" spans="1:12" ht="15.75" hidden="1" thickBot="1" x14ac:dyDescent="0.3">
      <c r="A22">
        <v>3</v>
      </c>
      <c r="B22" s="27">
        <v>45495</v>
      </c>
      <c r="C22" s="175">
        <v>301851.33</v>
      </c>
      <c r="D22" s="29">
        <v>0</v>
      </c>
      <c r="E22" s="30">
        <f t="shared" si="0"/>
        <v>301851.33</v>
      </c>
      <c r="F22" s="28">
        <v>30000</v>
      </c>
      <c r="G22" s="28">
        <f t="shared" si="1"/>
        <v>10.061711000000001</v>
      </c>
      <c r="H22" s="65">
        <f t="shared" si="2"/>
        <v>1.3835353864941613E-3</v>
      </c>
      <c r="I22" s="72">
        <f t="shared" si="3"/>
        <v>6.1710999999999849E-3</v>
      </c>
      <c r="J22" s="95">
        <v>150.77000000000001</v>
      </c>
      <c r="K22" s="65">
        <f t="shared" si="4"/>
        <v>1.0658265183000504E-2</v>
      </c>
      <c r="L22" s="72">
        <f t="shared" si="5"/>
        <v>1.4739534257639075E-2</v>
      </c>
    </row>
    <row r="23" spans="1:12" ht="15.75" hidden="1" thickBot="1" x14ac:dyDescent="0.3">
      <c r="A23">
        <v>3</v>
      </c>
      <c r="B23" s="27">
        <v>45496</v>
      </c>
      <c r="C23" s="175">
        <v>303906.505</v>
      </c>
      <c r="D23" s="29">
        <v>0</v>
      </c>
      <c r="E23" s="30">
        <f t="shared" si="0"/>
        <v>303906.505</v>
      </c>
      <c r="F23" s="28">
        <v>30000</v>
      </c>
      <c r="G23" s="28">
        <f t="shared" si="1"/>
        <v>10.130216833333334</v>
      </c>
      <c r="H23" s="65">
        <f t="shared" si="2"/>
        <v>6.8085669856083886E-3</v>
      </c>
      <c r="I23" s="72">
        <f t="shared" si="3"/>
        <v>1.3021683333333423E-2</v>
      </c>
      <c r="J23" s="95">
        <v>150.29</v>
      </c>
      <c r="K23" s="65">
        <f t="shared" si="4"/>
        <v>-3.1836572262388119E-3</v>
      </c>
      <c r="L23" s="72">
        <f t="shared" si="5"/>
        <v>1.1508951406649537E-2</v>
      </c>
    </row>
    <row r="24" spans="1:12" ht="15.75" hidden="1" thickBot="1" x14ac:dyDescent="0.3">
      <c r="A24">
        <v>3</v>
      </c>
      <c r="B24" s="27">
        <v>45497</v>
      </c>
      <c r="C24" s="175">
        <v>303060.06</v>
      </c>
      <c r="D24" s="29">
        <v>0</v>
      </c>
      <c r="E24" s="30">
        <f t="shared" si="0"/>
        <v>303060.06</v>
      </c>
      <c r="F24" s="28">
        <v>30000</v>
      </c>
      <c r="G24" s="28">
        <f t="shared" si="1"/>
        <v>10.102002000000001</v>
      </c>
      <c r="H24" s="65">
        <f t="shared" si="2"/>
        <v>-2.7852151437166572E-3</v>
      </c>
      <c r="I24" s="72">
        <f t="shared" si="3"/>
        <v>1.0200200000000104E-2</v>
      </c>
      <c r="J24" s="95">
        <v>147.22999999999999</v>
      </c>
      <c r="K24" s="65">
        <f t="shared" si="4"/>
        <v>-2.0360636103533225E-2</v>
      </c>
      <c r="L24" s="72">
        <f t="shared" si="5"/>
        <v>-9.0860142684077161E-3</v>
      </c>
    </row>
    <row r="25" spans="1:12" ht="15.75" hidden="1" thickBot="1" x14ac:dyDescent="0.3">
      <c r="A25">
        <v>3</v>
      </c>
      <c r="B25" s="27">
        <v>45498</v>
      </c>
      <c r="C25" s="175">
        <v>303076.935</v>
      </c>
      <c r="D25" s="29">
        <v>0</v>
      </c>
      <c r="E25" s="30">
        <f t="shared" si="0"/>
        <v>303076.935</v>
      </c>
      <c r="F25" s="28">
        <v>30000</v>
      </c>
      <c r="G25" s="28">
        <f t="shared" si="1"/>
        <v>10.1025645</v>
      </c>
      <c r="H25" s="65">
        <f t="shared" si="2"/>
        <v>5.5682032135795367E-5</v>
      </c>
      <c r="I25" s="72">
        <f t="shared" si="3"/>
        <v>1.0256449999999973E-2</v>
      </c>
      <c r="J25" s="95">
        <v>146.5</v>
      </c>
      <c r="K25" s="65">
        <f t="shared" si="4"/>
        <v>-4.9582286218841087E-3</v>
      </c>
      <c r="L25" s="72">
        <f t="shared" si="5"/>
        <v>-1.3999192354287371E-2</v>
      </c>
    </row>
    <row r="26" spans="1:12" ht="15.75" hidden="1" thickBot="1" x14ac:dyDescent="0.3">
      <c r="A26">
        <v>3</v>
      </c>
      <c r="B26" s="27">
        <v>45499</v>
      </c>
      <c r="C26" s="175">
        <v>303830.23</v>
      </c>
      <c r="D26" s="29">
        <v>0</v>
      </c>
      <c r="E26" s="30">
        <f t="shared" si="0"/>
        <v>303830.23</v>
      </c>
      <c r="F26" s="28">
        <v>30000</v>
      </c>
      <c r="G26" s="28">
        <f t="shared" si="1"/>
        <v>10.127674333333333</v>
      </c>
      <c r="H26" s="65">
        <f t="shared" si="2"/>
        <v>2.4854910189717749E-3</v>
      </c>
      <c r="I26" s="72">
        <f t="shared" si="3"/>
        <v>1.2767433333333411E-2</v>
      </c>
      <c r="J26" s="95">
        <v>148.13</v>
      </c>
      <c r="K26" s="65">
        <f t="shared" si="4"/>
        <v>1.1126279863481248E-2</v>
      </c>
      <c r="L26" s="72">
        <f t="shared" si="5"/>
        <v>-3.028671422802609E-3</v>
      </c>
    </row>
    <row r="27" spans="1:12" ht="15.75" hidden="1" thickBot="1" x14ac:dyDescent="0.3">
      <c r="A27">
        <v>3</v>
      </c>
      <c r="B27" s="27">
        <v>45500</v>
      </c>
      <c r="C27" s="175">
        <v>303830.23</v>
      </c>
      <c r="D27" s="29">
        <v>0</v>
      </c>
      <c r="E27" s="30">
        <f t="shared" si="0"/>
        <v>303830.23</v>
      </c>
      <c r="F27" s="28">
        <v>30000</v>
      </c>
      <c r="G27" s="28">
        <f t="shared" si="1"/>
        <v>10.127674333333333</v>
      </c>
      <c r="H27" s="65">
        <f t="shared" si="2"/>
        <v>0</v>
      </c>
      <c r="I27" s="72">
        <f t="shared" si="3"/>
        <v>1.2767433333333411E-2</v>
      </c>
      <c r="J27" s="95">
        <v>148.13</v>
      </c>
      <c r="K27" s="65">
        <f t="shared" si="4"/>
        <v>0</v>
      </c>
      <c r="L27" s="72">
        <f t="shared" si="5"/>
        <v>-3.028671422802609E-3</v>
      </c>
    </row>
    <row r="28" spans="1:12" ht="15.75" hidden="1" thickBot="1" x14ac:dyDescent="0.3">
      <c r="A28">
        <v>3</v>
      </c>
      <c r="B28" s="27">
        <v>45501</v>
      </c>
      <c r="C28" s="175">
        <v>303830.23</v>
      </c>
      <c r="D28" s="29">
        <v>0</v>
      </c>
      <c r="E28" s="30">
        <f t="shared" si="0"/>
        <v>303830.23</v>
      </c>
      <c r="F28" s="28">
        <v>30000</v>
      </c>
      <c r="G28" s="28">
        <f t="shared" si="1"/>
        <v>10.127674333333333</v>
      </c>
      <c r="H28" s="65">
        <f t="shared" si="2"/>
        <v>0</v>
      </c>
      <c r="I28" s="72">
        <f t="shared" si="3"/>
        <v>1.2767433333333411E-2</v>
      </c>
      <c r="J28" s="95">
        <v>148.13</v>
      </c>
      <c r="K28" s="65">
        <f t="shared" si="4"/>
        <v>0</v>
      </c>
      <c r="L28" s="72">
        <f t="shared" si="5"/>
        <v>-3.028671422802609E-3</v>
      </c>
    </row>
    <row r="29" spans="1:12" ht="15.75" hidden="1" thickBot="1" x14ac:dyDescent="0.3">
      <c r="A29">
        <v>3</v>
      </c>
      <c r="B29" s="27">
        <v>45502</v>
      </c>
      <c r="C29" s="175">
        <v>303885.23499999999</v>
      </c>
      <c r="D29" s="29">
        <v>0</v>
      </c>
      <c r="E29" s="30">
        <f t="shared" si="0"/>
        <v>303885.23499999999</v>
      </c>
      <c r="F29" s="28">
        <v>30000</v>
      </c>
      <c r="G29" s="28">
        <f t="shared" si="1"/>
        <v>10.129507833333333</v>
      </c>
      <c r="H29" s="65">
        <f t="shared" si="2"/>
        <v>1.8103860172180575E-4</v>
      </c>
      <c r="I29" s="72">
        <f t="shared" si="3"/>
        <v>1.2950783333333327E-2</v>
      </c>
      <c r="J29" s="95">
        <v>148.08000000000001</v>
      </c>
      <c r="K29" s="65">
        <f t="shared" si="4"/>
        <v>-3.375413488151402E-4</v>
      </c>
      <c r="L29" s="72">
        <f t="shared" si="5"/>
        <v>-3.3651904697805657E-3</v>
      </c>
    </row>
    <row r="30" spans="1:12" ht="15.75" hidden="1" thickBot="1" x14ac:dyDescent="0.3">
      <c r="A30">
        <v>3</v>
      </c>
      <c r="B30" s="27">
        <v>45503</v>
      </c>
      <c r="C30" s="175">
        <v>304613.05</v>
      </c>
      <c r="D30" s="29">
        <v>0</v>
      </c>
      <c r="E30" s="30">
        <f t="shared" si="0"/>
        <v>304613.05</v>
      </c>
      <c r="F30" s="28">
        <v>30000</v>
      </c>
      <c r="G30" s="28">
        <f t="shared" si="1"/>
        <v>10.153768333333334</v>
      </c>
      <c r="H30" s="65">
        <f t="shared" si="2"/>
        <v>2.395032453617052E-3</v>
      </c>
      <c r="I30" s="72">
        <f t="shared" si="3"/>
        <v>1.5376833333333284E-2</v>
      </c>
      <c r="J30" s="95">
        <v>147.66</v>
      </c>
      <c r="K30" s="65">
        <f t="shared" si="4"/>
        <v>-2.8363047001621622E-3</v>
      </c>
      <c r="L30" s="72">
        <f t="shared" si="5"/>
        <v>-6.1919504643963563E-3</v>
      </c>
    </row>
    <row r="31" spans="1:12" ht="15.75" hidden="1" thickBot="1" x14ac:dyDescent="0.3">
      <c r="A31">
        <v>3</v>
      </c>
      <c r="B31" s="27">
        <v>45504</v>
      </c>
      <c r="C31" s="175">
        <v>305306.875</v>
      </c>
      <c r="D31" s="29">
        <v>0</v>
      </c>
      <c r="E31" s="30">
        <f t="shared" si="0"/>
        <v>305306.875</v>
      </c>
      <c r="F31" s="28">
        <v>30000</v>
      </c>
      <c r="G31" s="28">
        <f t="shared" si="1"/>
        <v>10.176895833333333</v>
      </c>
      <c r="H31" s="65">
        <f t="shared" si="2"/>
        <v>2.2777257901458459E-3</v>
      </c>
      <c r="I31" s="72">
        <f t="shared" si="3"/>
        <v>1.7689583333333259E-2</v>
      </c>
      <c r="J31" s="95">
        <v>149.97</v>
      </c>
      <c r="K31" s="65">
        <f t="shared" si="4"/>
        <v>1.5644047135310757E-2</v>
      </c>
      <c r="L31" s="72">
        <f t="shared" si="5"/>
        <v>9.3552295059899926E-3</v>
      </c>
    </row>
    <row r="32" spans="1:12" ht="15.75" hidden="1" thickBot="1" x14ac:dyDescent="0.3">
      <c r="A32">
        <v>3</v>
      </c>
      <c r="B32" s="27">
        <v>45505</v>
      </c>
      <c r="C32" s="175">
        <v>303426.67999999993</v>
      </c>
      <c r="D32" s="29">
        <v>0</v>
      </c>
      <c r="E32" s="30">
        <f t="shared" si="0"/>
        <v>303426.67999999993</v>
      </c>
      <c r="F32" s="28">
        <v>30000</v>
      </c>
      <c r="G32" s="28">
        <f t="shared" si="1"/>
        <v>10.114222666666665</v>
      </c>
      <c r="H32" s="65">
        <f t="shared" si="2"/>
        <v>-6.158377534079551E-3</v>
      </c>
      <c r="I32" s="72">
        <f t="shared" si="3"/>
        <v>1.142226666666657E-2</v>
      </c>
      <c r="J32" s="95">
        <v>147.31</v>
      </c>
      <c r="K32" s="65">
        <f t="shared" si="4"/>
        <v>-1.7736880709475211E-2</v>
      </c>
      <c r="L32" s="72">
        <f t="shared" si="5"/>
        <v>-8.547583793242719E-3</v>
      </c>
    </row>
    <row r="33" spans="1:12" ht="15.75" hidden="1" thickBot="1" x14ac:dyDescent="0.3">
      <c r="A33">
        <v>3</v>
      </c>
      <c r="B33" s="27">
        <v>45506</v>
      </c>
      <c r="C33" s="175">
        <v>302010.70499999996</v>
      </c>
      <c r="D33" s="29">
        <v>0</v>
      </c>
      <c r="E33" s="30">
        <f t="shared" si="0"/>
        <v>302010.70499999996</v>
      </c>
      <c r="F33" s="28">
        <v>30000</v>
      </c>
      <c r="G33" s="28">
        <f t="shared" si="1"/>
        <v>10.067023499999999</v>
      </c>
      <c r="H33" s="65">
        <f t="shared" si="2"/>
        <v>-4.6666133643882279E-3</v>
      </c>
      <c r="I33" s="72">
        <f t="shared" si="3"/>
        <v>6.702349999999857E-3</v>
      </c>
      <c r="J33" s="95">
        <v>144.62</v>
      </c>
      <c r="K33" s="65">
        <f t="shared" si="4"/>
        <v>-1.8260810535605132E-2</v>
      </c>
      <c r="L33" s="72">
        <f t="shared" si="5"/>
        <v>-2.665230852066236E-2</v>
      </c>
    </row>
    <row r="34" spans="1:12" ht="15.75" hidden="1" thickBot="1" x14ac:dyDescent="0.3">
      <c r="A34">
        <v>3</v>
      </c>
      <c r="B34" s="27">
        <v>45507</v>
      </c>
      <c r="C34" s="175">
        <v>302010.70499999996</v>
      </c>
      <c r="D34" s="29">
        <v>0</v>
      </c>
      <c r="E34" s="30">
        <f t="shared" ref="E34:E65" si="6">C34-D34</f>
        <v>302010.70499999996</v>
      </c>
      <c r="F34" s="28">
        <v>30000</v>
      </c>
      <c r="G34" s="28">
        <f t="shared" ref="G34:G65" si="7">E34/F34</f>
        <v>10.067023499999999</v>
      </c>
      <c r="H34" s="65">
        <f t="shared" si="2"/>
        <v>0</v>
      </c>
      <c r="I34" s="72">
        <f t="shared" si="3"/>
        <v>6.702349999999857E-3</v>
      </c>
      <c r="J34" s="95">
        <v>144.62</v>
      </c>
      <c r="K34" s="65">
        <f t="shared" si="4"/>
        <v>0</v>
      </c>
      <c r="L34" s="72">
        <f t="shared" si="5"/>
        <v>-2.665230852066236E-2</v>
      </c>
    </row>
    <row r="35" spans="1:12" ht="15.75" hidden="1" thickBot="1" x14ac:dyDescent="0.3">
      <c r="A35">
        <v>3</v>
      </c>
      <c r="B35" s="27">
        <v>45508</v>
      </c>
      <c r="C35" s="175">
        <v>302010.70499999996</v>
      </c>
      <c r="D35" s="29">
        <v>0</v>
      </c>
      <c r="E35" s="30">
        <f t="shared" si="6"/>
        <v>302010.70499999996</v>
      </c>
      <c r="F35" s="28">
        <v>30000</v>
      </c>
      <c r="G35" s="28">
        <f t="shared" si="7"/>
        <v>10.067023499999999</v>
      </c>
      <c r="H35" s="65">
        <f t="shared" ref="H35:H66" si="8">G35/G34 -1</f>
        <v>0</v>
      </c>
      <c r="I35" s="72">
        <f t="shared" ref="I35:I66" si="9">G35/$G$2-1</f>
        <v>6.702349999999857E-3</v>
      </c>
      <c r="J35" s="95">
        <v>144.62</v>
      </c>
      <c r="K35" s="65">
        <f t="shared" ref="K35:K66" si="10">J35/J34 -1</f>
        <v>0</v>
      </c>
      <c r="L35" s="72">
        <f t="shared" ref="L35:L66" si="11">J35/$J$2-1</f>
        <v>-2.665230852066236E-2</v>
      </c>
    </row>
    <row r="36" spans="1:12" ht="15.75" hidden="1" thickBot="1" x14ac:dyDescent="0.3">
      <c r="A36">
        <v>3</v>
      </c>
      <c r="B36" s="27">
        <v>45509</v>
      </c>
      <c r="C36" s="175">
        <v>299366.57999999996</v>
      </c>
      <c r="D36" s="29">
        <v>0</v>
      </c>
      <c r="E36" s="30">
        <f t="shared" si="6"/>
        <v>299366.57999999996</v>
      </c>
      <c r="F36" s="28">
        <v>30000</v>
      </c>
      <c r="G36" s="28">
        <f t="shared" si="7"/>
        <v>9.9788859999999993</v>
      </c>
      <c r="H36" s="65">
        <f t="shared" si="8"/>
        <v>-8.7550704535457324E-3</v>
      </c>
      <c r="I36" s="72">
        <f t="shared" si="9"/>
        <v>-2.1114000000000965E-3</v>
      </c>
      <c r="J36" s="95">
        <v>140.68</v>
      </c>
      <c r="K36" s="65">
        <f t="shared" si="10"/>
        <v>-2.7243811367722248E-2</v>
      </c>
      <c r="L36" s="72">
        <f t="shared" si="11"/>
        <v>-5.317000942253336E-2</v>
      </c>
    </row>
    <row r="37" spans="1:12" ht="15.75" hidden="1" thickBot="1" x14ac:dyDescent="0.3">
      <c r="A37">
        <v>3</v>
      </c>
      <c r="B37" s="27">
        <v>45510</v>
      </c>
      <c r="C37" s="175">
        <v>300026.06</v>
      </c>
      <c r="D37" s="29">
        <v>0</v>
      </c>
      <c r="E37" s="30">
        <f t="shared" si="6"/>
        <v>300026.06</v>
      </c>
      <c r="F37" s="28">
        <v>30000</v>
      </c>
      <c r="G37" s="28">
        <f t="shared" si="7"/>
        <v>10.000868666666667</v>
      </c>
      <c r="H37" s="65">
        <f t="shared" si="8"/>
        <v>2.2029179075366834E-3</v>
      </c>
      <c r="I37" s="72">
        <f t="shared" si="9"/>
        <v>8.6866666666685077E-5</v>
      </c>
      <c r="J37" s="95">
        <v>141.76</v>
      </c>
      <c r="K37" s="65">
        <f t="shared" si="10"/>
        <v>7.6769974410006991E-3</v>
      </c>
      <c r="L37" s="72">
        <f t="shared" si="11"/>
        <v>-4.5901198007807342E-2</v>
      </c>
    </row>
    <row r="38" spans="1:12" ht="15.75" hidden="1" thickBot="1" x14ac:dyDescent="0.3">
      <c r="A38">
        <v>3</v>
      </c>
      <c r="B38" s="27">
        <v>45511</v>
      </c>
      <c r="C38" s="175">
        <v>299445.20999999996</v>
      </c>
      <c r="D38" s="29">
        <v>0</v>
      </c>
      <c r="E38" s="30">
        <f t="shared" si="6"/>
        <v>299445.20999999996</v>
      </c>
      <c r="F38" s="28">
        <v>30000</v>
      </c>
      <c r="G38" s="28">
        <f t="shared" si="7"/>
        <v>9.9815069999999988</v>
      </c>
      <c r="H38" s="65">
        <f t="shared" si="8"/>
        <v>-1.9359984929311347E-3</v>
      </c>
      <c r="I38" s="72">
        <f t="shared" si="9"/>
        <v>-1.8493000000001647E-3</v>
      </c>
      <c r="J38" s="95">
        <v>141.18</v>
      </c>
      <c r="K38" s="65">
        <f t="shared" si="10"/>
        <v>-4.09142212189606E-3</v>
      </c>
      <c r="L38" s="72">
        <f t="shared" si="11"/>
        <v>-4.9804818952752794E-2</v>
      </c>
    </row>
    <row r="39" spans="1:12" ht="15.75" hidden="1" thickBot="1" x14ac:dyDescent="0.3">
      <c r="A39">
        <v>3</v>
      </c>
      <c r="B39" s="27">
        <v>45512</v>
      </c>
      <c r="C39" s="175">
        <v>302651.59499999997</v>
      </c>
      <c r="D39" s="29">
        <v>0</v>
      </c>
      <c r="E39" s="30">
        <f t="shared" si="6"/>
        <v>302651.59499999997</v>
      </c>
      <c r="F39" s="28">
        <v>30000</v>
      </c>
      <c r="G39" s="28">
        <f t="shared" si="7"/>
        <v>10.088386499999999</v>
      </c>
      <c r="H39" s="65">
        <f t="shared" si="8"/>
        <v>1.0707751845487889E-2</v>
      </c>
      <c r="I39" s="72">
        <f t="shared" si="9"/>
        <v>8.8386499999999479E-3</v>
      </c>
      <c r="J39" s="95">
        <v>144.18</v>
      </c>
      <c r="K39" s="65">
        <f t="shared" si="10"/>
        <v>2.1249468763280932E-2</v>
      </c>
      <c r="L39" s="72">
        <f t="shared" si="11"/>
        <v>-2.9613676134069178E-2</v>
      </c>
    </row>
    <row r="40" spans="1:12" ht="15.75" hidden="1" thickBot="1" x14ac:dyDescent="0.3">
      <c r="A40">
        <v>3</v>
      </c>
      <c r="B40" s="27">
        <v>45513</v>
      </c>
      <c r="C40" s="175">
        <v>303197.26</v>
      </c>
      <c r="D40" s="29">
        <v>0</v>
      </c>
      <c r="E40" s="30">
        <f t="shared" si="6"/>
        <v>303197.26</v>
      </c>
      <c r="F40" s="28">
        <v>30000</v>
      </c>
      <c r="G40" s="28">
        <f t="shared" si="7"/>
        <v>10.106575333333334</v>
      </c>
      <c r="H40" s="65">
        <f t="shared" si="8"/>
        <v>1.8029477095604651E-3</v>
      </c>
      <c r="I40" s="72">
        <f t="shared" si="9"/>
        <v>1.0657533333333413E-2</v>
      </c>
      <c r="J40" s="95">
        <v>145.03</v>
      </c>
      <c r="K40" s="65">
        <f t="shared" si="10"/>
        <v>5.8954085171312176E-3</v>
      </c>
      <c r="L40" s="72">
        <f t="shared" si="11"/>
        <v>-2.389285233544225E-2</v>
      </c>
    </row>
    <row r="41" spans="1:12" ht="15.75" hidden="1" thickBot="1" x14ac:dyDescent="0.3">
      <c r="A41">
        <v>3</v>
      </c>
      <c r="B41" s="27">
        <v>45514</v>
      </c>
      <c r="C41" s="175">
        <v>303197.26</v>
      </c>
      <c r="D41" s="29">
        <v>0</v>
      </c>
      <c r="E41" s="30">
        <f t="shared" si="6"/>
        <v>303197.26</v>
      </c>
      <c r="F41" s="28">
        <v>30000</v>
      </c>
      <c r="G41" s="28">
        <f t="shared" si="7"/>
        <v>10.106575333333334</v>
      </c>
      <c r="H41" s="65">
        <f t="shared" si="8"/>
        <v>0</v>
      </c>
      <c r="I41" s="72">
        <f t="shared" si="9"/>
        <v>1.0657533333333413E-2</v>
      </c>
      <c r="J41" s="95">
        <v>145.03</v>
      </c>
      <c r="K41" s="65">
        <f t="shared" si="10"/>
        <v>0</v>
      </c>
      <c r="L41" s="72">
        <f t="shared" si="11"/>
        <v>-2.389285233544225E-2</v>
      </c>
    </row>
    <row r="42" spans="1:12" ht="15.75" hidden="1" thickBot="1" x14ac:dyDescent="0.3">
      <c r="A42">
        <v>3</v>
      </c>
      <c r="B42" s="27">
        <v>45515</v>
      </c>
      <c r="C42" s="175">
        <v>303197.26</v>
      </c>
      <c r="D42" s="29">
        <v>0</v>
      </c>
      <c r="E42" s="30">
        <f t="shared" si="6"/>
        <v>303197.26</v>
      </c>
      <c r="F42" s="28">
        <v>30000</v>
      </c>
      <c r="G42" s="28">
        <f t="shared" si="7"/>
        <v>10.106575333333334</v>
      </c>
      <c r="H42" s="65">
        <f t="shared" si="8"/>
        <v>0</v>
      </c>
      <c r="I42" s="72">
        <f t="shared" si="9"/>
        <v>1.0657533333333413E-2</v>
      </c>
      <c r="J42" s="95">
        <v>145.03</v>
      </c>
      <c r="K42" s="65">
        <f t="shared" si="10"/>
        <v>0</v>
      </c>
      <c r="L42" s="72">
        <f t="shared" si="11"/>
        <v>-2.389285233544225E-2</v>
      </c>
    </row>
    <row r="43" spans="1:12" ht="15.75" hidden="1" thickBot="1" x14ac:dyDescent="0.3">
      <c r="A43">
        <v>3</v>
      </c>
      <c r="B43" s="27">
        <v>45516</v>
      </c>
      <c r="C43" s="175">
        <v>303349.93</v>
      </c>
      <c r="D43" s="29">
        <v>0</v>
      </c>
      <c r="E43" s="30">
        <f t="shared" si="6"/>
        <v>303349.93</v>
      </c>
      <c r="F43" s="28">
        <v>30000</v>
      </c>
      <c r="G43" s="28">
        <f t="shared" si="7"/>
        <v>10.111664333333334</v>
      </c>
      <c r="H43" s="65">
        <f t="shared" si="8"/>
        <v>5.0353357414900657E-4</v>
      </c>
      <c r="I43" s="72">
        <f t="shared" si="9"/>
        <v>1.1166433333333448E-2</v>
      </c>
      <c r="J43" s="95">
        <v>144.9</v>
      </c>
      <c r="K43" s="65">
        <f t="shared" si="10"/>
        <v>-8.9636626904776584E-4</v>
      </c>
      <c r="L43" s="72">
        <f t="shared" si="11"/>
        <v>-2.4767801857585203E-2</v>
      </c>
    </row>
    <row r="44" spans="1:12" ht="15.75" hidden="1" thickBot="1" x14ac:dyDescent="0.3">
      <c r="A44">
        <v>3</v>
      </c>
      <c r="B44" s="27">
        <v>45517</v>
      </c>
      <c r="C44" s="175">
        <v>307475.45499999996</v>
      </c>
      <c r="D44" s="29">
        <v>0</v>
      </c>
      <c r="E44" s="30">
        <f t="shared" si="6"/>
        <v>307475.45499999996</v>
      </c>
      <c r="F44" s="28">
        <v>30000</v>
      </c>
      <c r="G44" s="28">
        <f t="shared" si="7"/>
        <v>10.249181833333331</v>
      </c>
      <c r="H44" s="65">
        <f t="shared" si="8"/>
        <v>1.3599887759986995E-2</v>
      </c>
      <c r="I44" s="72">
        <f t="shared" si="9"/>
        <v>2.4918183333333177E-2</v>
      </c>
      <c r="J44" s="95">
        <v>147.41999999999999</v>
      </c>
      <c r="K44" s="65">
        <f t="shared" si="10"/>
        <v>1.7391304347825987E-2</v>
      </c>
      <c r="L44" s="72">
        <f t="shared" si="11"/>
        <v>-7.8072418898911256E-3</v>
      </c>
    </row>
    <row r="45" spans="1:12" ht="15.75" hidden="1" thickBot="1" x14ac:dyDescent="0.3">
      <c r="A45">
        <v>3</v>
      </c>
      <c r="B45" s="27">
        <v>45518</v>
      </c>
      <c r="C45" s="175">
        <v>308063.43999999994</v>
      </c>
      <c r="D45" s="29">
        <v>0</v>
      </c>
      <c r="E45" s="30">
        <f t="shared" si="6"/>
        <v>308063.43999999994</v>
      </c>
      <c r="F45" s="28">
        <v>30000</v>
      </c>
      <c r="G45" s="28">
        <f t="shared" si="7"/>
        <v>10.268781333333331</v>
      </c>
      <c r="H45" s="65">
        <f t="shared" si="8"/>
        <v>1.9122989833448845E-3</v>
      </c>
      <c r="I45" s="72">
        <f t="shared" si="9"/>
        <v>2.6878133333333221E-2</v>
      </c>
      <c r="J45" s="95">
        <v>147.87</v>
      </c>
      <c r="K45" s="65">
        <f t="shared" si="10"/>
        <v>3.0525030525032637E-3</v>
      </c>
      <c r="L45" s="72">
        <f t="shared" si="11"/>
        <v>-4.7785704670885165E-3</v>
      </c>
    </row>
    <row r="46" spans="1:12" ht="15.75" hidden="1" thickBot="1" x14ac:dyDescent="0.3">
      <c r="A46">
        <v>3</v>
      </c>
      <c r="B46" s="27">
        <v>45519</v>
      </c>
      <c r="C46" s="175">
        <v>312452.45</v>
      </c>
      <c r="D46" s="29">
        <v>0</v>
      </c>
      <c r="E46" s="30">
        <f t="shared" si="6"/>
        <v>312452.45</v>
      </c>
      <c r="F46" s="28">
        <v>30000</v>
      </c>
      <c r="G46" s="28">
        <f t="shared" si="7"/>
        <v>10.415081666666667</v>
      </c>
      <c r="H46" s="65">
        <f t="shared" si="8"/>
        <v>1.4247097935412567E-2</v>
      </c>
      <c r="I46" s="72">
        <f t="shared" si="9"/>
        <v>4.150816666666679E-2</v>
      </c>
      <c r="J46" s="95">
        <v>150.09</v>
      </c>
      <c r="K46" s="65">
        <f t="shared" si="10"/>
        <v>1.5013187259078853E-2</v>
      </c>
      <c r="L46" s="72">
        <f t="shared" si="11"/>
        <v>1.0162875218737266E-2</v>
      </c>
    </row>
    <row r="47" spans="1:12" ht="15.75" hidden="1" thickBot="1" x14ac:dyDescent="0.3">
      <c r="A47">
        <v>3</v>
      </c>
      <c r="B47" s="27">
        <v>45520</v>
      </c>
      <c r="C47" s="175">
        <v>313697.69</v>
      </c>
      <c r="D47" s="29">
        <v>0</v>
      </c>
      <c r="E47" s="30">
        <f t="shared" si="6"/>
        <v>313697.69</v>
      </c>
      <c r="F47" s="28">
        <v>30000</v>
      </c>
      <c r="G47" s="28">
        <f t="shared" si="7"/>
        <v>10.456589666666666</v>
      </c>
      <c r="H47" s="65">
        <f t="shared" si="8"/>
        <v>3.9853744145708081E-3</v>
      </c>
      <c r="I47" s="72">
        <f t="shared" si="9"/>
        <v>4.5658966666666689E-2</v>
      </c>
      <c r="J47" s="95">
        <v>150.71</v>
      </c>
      <c r="K47" s="65">
        <f t="shared" si="10"/>
        <v>4.1308548204410656E-3</v>
      </c>
      <c r="L47" s="72">
        <f t="shared" si="11"/>
        <v>1.4335711401265216E-2</v>
      </c>
    </row>
    <row r="48" spans="1:12" ht="15.75" hidden="1" thickBot="1" x14ac:dyDescent="0.3">
      <c r="A48">
        <v>3</v>
      </c>
      <c r="B48" s="27">
        <v>45521</v>
      </c>
      <c r="C48" s="175">
        <v>313697.69</v>
      </c>
      <c r="D48" s="29">
        <v>0</v>
      </c>
      <c r="E48" s="30">
        <f t="shared" si="6"/>
        <v>313697.69</v>
      </c>
      <c r="F48" s="28">
        <v>30000</v>
      </c>
      <c r="G48" s="28">
        <f t="shared" si="7"/>
        <v>10.456589666666666</v>
      </c>
      <c r="H48" s="65">
        <f t="shared" si="8"/>
        <v>0</v>
      </c>
      <c r="I48" s="72">
        <f t="shared" si="9"/>
        <v>4.5658966666666689E-2</v>
      </c>
      <c r="J48" s="95">
        <v>150.71</v>
      </c>
      <c r="K48" s="65">
        <f t="shared" si="10"/>
        <v>0</v>
      </c>
      <c r="L48" s="72">
        <f t="shared" si="11"/>
        <v>1.4335711401265216E-2</v>
      </c>
    </row>
    <row r="49" spans="1:12" ht="15.75" hidden="1" thickBot="1" x14ac:dyDescent="0.3">
      <c r="A49">
        <v>3</v>
      </c>
      <c r="B49" s="27">
        <v>45522</v>
      </c>
      <c r="C49" s="175">
        <v>313697.69</v>
      </c>
      <c r="D49" s="29">
        <v>0</v>
      </c>
      <c r="E49" s="30">
        <f t="shared" si="6"/>
        <v>313697.69</v>
      </c>
      <c r="F49" s="28">
        <v>30000</v>
      </c>
      <c r="G49" s="28">
        <f t="shared" si="7"/>
        <v>10.456589666666666</v>
      </c>
      <c r="H49" s="65">
        <f t="shared" si="8"/>
        <v>0</v>
      </c>
      <c r="I49" s="72">
        <f t="shared" si="9"/>
        <v>4.5658966666666689E-2</v>
      </c>
      <c r="J49" s="95">
        <v>150.71</v>
      </c>
      <c r="K49" s="65">
        <f t="shared" si="10"/>
        <v>0</v>
      </c>
      <c r="L49" s="72">
        <f t="shared" si="11"/>
        <v>1.4335711401265216E-2</v>
      </c>
    </row>
    <row r="50" spans="1:12" ht="15.75" hidden="1" thickBot="1" x14ac:dyDescent="0.3">
      <c r="A50">
        <v>3</v>
      </c>
      <c r="B50" s="27">
        <v>45523</v>
      </c>
      <c r="C50" s="175">
        <v>317439.42</v>
      </c>
      <c r="D50" s="29">
        <v>0</v>
      </c>
      <c r="E50" s="30">
        <f t="shared" si="6"/>
        <v>317439.42</v>
      </c>
      <c r="F50" s="28">
        <v>30000</v>
      </c>
      <c r="G50" s="28">
        <f t="shared" si="7"/>
        <v>10.581313999999999</v>
      </c>
      <c r="H50" s="65">
        <f t="shared" si="8"/>
        <v>1.1927821336523037E-2</v>
      </c>
      <c r="I50" s="72">
        <f t="shared" si="9"/>
        <v>5.8131399999999944E-2</v>
      </c>
      <c r="J50" s="95">
        <v>152.22</v>
      </c>
      <c r="K50" s="65">
        <f t="shared" si="10"/>
        <v>1.001924225333406E-2</v>
      </c>
      <c r="L50" s="72">
        <f t="shared" si="11"/>
        <v>2.4498586620002705E-2</v>
      </c>
    </row>
    <row r="51" spans="1:12" ht="15.75" hidden="1" thickBot="1" x14ac:dyDescent="0.3">
      <c r="A51">
        <v>3</v>
      </c>
      <c r="B51" s="27">
        <v>45524</v>
      </c>
      <c r="C51" s="175">
        <v>316083.21000000002</v>
      </c>
      <c r="D51" s="29">
        <v>0</v>
      </c>
      <c r="E51" s="30">
        <f t="shared" si="6"/>
        <v>316083.21000000002</v>
      </c>
      <c r="F51" s="28">
        <v>30000</v>
      </c>
      <c r="G51" s="28">
        <f t="shared" si="7"/>
        <v>10.536107000000001</v>
      </c>
      <c r="H51" s="65">
        <f t="shared" si="8"/>
        <v>-4.2723427355050303E-3</v>
      </c>
      <c r="I51" s="72">
        <f t="shared" si="9"/>
        <v>5.3610700000000122E-2</v>
      </c>
      <c r="J51" s="95">
        <v>152</v>
      </c>
      <c r="K51" s="65">
        <f t="shared" si="10"/>
        <v>-1.4452765733806716E-3</v>
      </c>
      <c r="L51" s="72">
        <f t="shared" si="11"/>
        <v>2.3017902813299074E-2</v>
      </c>
    </row>
    <row r="52" spans="1:12" ht="15.75" hidden="1" thickBot="1" x14ac:dyDescent="0.3">
      <c r="A52">
        <v>3</v>
      </c>
      <c r="B52" s="27">
        <v>45525</v>
      </c>
      <c r="C52" s="175">
        <v>317800.35000000003</v>
      </c>
      <c r="D52" s="29">
        <v>0</v>
      </c>
      <c r="E52" s="30">
        <f t="shared" si="6"/>
        <v>317800.35000000003</v>
      </c>
      <c r="F52" s="28">
        <v>30000</v>
      </c>
      <c r="G52" s="28">
        <f t="shared" si="7"/>
        <v>10.593345000000001</v>
      </c>
      <c r="H52" s="65">
        <f t="shared" si="8"/>
        <v>5.4325568257800327E-3</v>
      </c>
      <c r="I52" s="72">
        <f t="shared" si="9"/>
        <v>5.9334500000000068E-2</v>
      </c>
      <c r="J52" s="95">
        <v>152.87</v>
      </c>
      <c r="K52" s="65">
        <f t="shared" si="10"/>
        <v>5.7236842105263808E-3</v>
      </c>
      <c r="L52" s="72">
        <f t="shared" si="11"/>
        <v>2.8873334230717473E-2</v>
      </c>
    </row>
    <row r="53" spans="1:12" ht="15.75" hidden="1" thickBot="1" x14ac:dyDescent="0.3">
      <c r="A53">
        <v>3</v>
      </c>
      <c r="B53" s="27">
        <v>45526</v>
      </c>
      <c r="C53" s="175">
        <v>314939.24</v>
      </c>
      <c r="D53" s="29">
        <v>0</v>
      </c>
      <c r="E53" s="30">
        <f t="shared" si="6"/>
        <v>314939.24</v>
      </c>
      <c r="F53" s="28">
        <v>30000</v>
      </c>
      <c r="G53" s="28">
        <f t="shared" si="7"/>
        <v>10.497974666666666</v>
      </c>
      <c r="H53" s="65">
        <f t="shared" si="8"/>
        <v>-9.0028535210866512E-3</v>
      </c>
      <c r="I53" s="72">
        <f t="shared" si="9"/>
        <v>4.9797466666666512E-2</v>
      </c>
      <c r="J53" s="95">
        <v>151.49</v>
      </c>
      <c r="K53" s="65">
        <f t="shared" si="10"/>
        <v>-9.0272780794138363E-3</v>
      </c>
      <c r="L53" s="72">
        <f t="shared" si="11"/>
        <v>1.9585408534122939E-2</v>
      </c>
    </row>
    <row r="54" spans="1:12" ht="15.75" hidden="1" thickBot="1" x14ac:dyDescent="0.3">
      <c r="A54">
        <v>3</v>
      </c>
      <c r="B54" s="27">
        <v>45527</v>
      </c>
      <c r="C54" s="175">
        <v>319567.75999999995</v>
      </c>
      <c r="D54" s="29">
        <v>0</v>
      </c>
      <c r="E54" s="30">
        <f t="shared" si="6"/>
        <v>319567.75999999995</v>
      </c>
      <c r="F54" s="28">
        <v>30000</v>
      </c>
      <c r="G54" s="28">
        <f t="shared" si="7"/>
        <v>10.652258666666665</v>
      </c>
      <c r="H54" s="65">
        <f t="shared" si="8"/>
        <v>1.469654908673812E-2</v>
      </c>
      <c r="I54" s="72">
        <f t="shared" si="9"/>
        <v>6.5225866666666521E-2</v>
      </c>
      <c r="J54" s="95">
        <v>153.80000000000001</v>
      </c>
      <c r="K54" s="65">
        <f t="shared" si="10"/>
        <v>1.5248531256188524E-2</v>
      </c>
      <c r="L54" s="72">
        <f t="shared" si="11"/>
        <v>3.5132588504509288E-2</v>
      </c>
    </row>
    <row r="55" spans="1:12" ht="15.75" hidden="1" thickBot="1" x14ac:dyDescent="0.3">
      <c r="A55">
        <v>3</v>
      </c>
      <c r="B55" s="27">
        <v>45528</v>
      </c>
      <c r="C55" s="175">
        <v>319567.75999999995</v>
      </c>
      <c r="D55" s="29">
        <v>0</v>
      </c>
      <c r="E55" s="30">
        <f t="shared" si="6"/>
        <v>319567.75999999995</v>
      </c>
      <c r="F55" s="28">
        <v>30000</v>
      </c>
      <c r="G55" s="28">
        <f t="shared" si="7"/>
        <v>10.652258666666665</v>
      </c>
      <c r="H55" s="65">
        <f t="shared" si="8"/>
        <v>0</v>
      </c>
      <c r="I55" s="72">
        <f t="shared" si="9"/>
        <v>6.5225866666666521E-2</v>
      </c>
      <c r="J55" s="95">
        <v>153.80000000000001</v>
      </c>
      <c r="K55" s="65">
        <f t="shared" si="10"/>
        <v>0</v>
      </c>
      <c r="L55" s="72">
        <f t="shared" si="11"/>
        <v>3.5132588504509288E-2</v>
      </c>
    </row>
    <row r="56" spans="1:12" ht="15.75" hidden="1" thickBot="1" x14ac:dyDescent="0.3">
      <c r="A56">
        <v>3</v>
      </c>
      <c r="B56" s="27">
        <v>45529</v>
      </c>
      <c r="C56" s="175">
        <v>319567.75999999995</v>
      </c>
      <c r="D56" s="29">
        <v>0</v>
      </c>
      <c r="E56" s="30">
        <f t="shared" si="6"/>
        <v>319567.75999999995</v>
      </c>
      <c r="F56" s="28">
        <v>30000</v>
      </c>
      <c r="G56" s="28">
        <f t="shared" si="7"/>
        <v>10.652258666666665</v>
      </c>
      <c r="H56" s="65">
        <f t="shared" si="8"/>
        <v>0</v>
      </c>
      <c r="I56" s="72">
        <f t="shared" si="9"/>
        <v>6.5225866666666521E-2</v>
      </c>
      <c r="J56" s="95">
        <v>153.80000000000001</v>
      </c>
      <c r="K56" s="65">
        <f t="shared" si="10"/>
        <v>0</v>
      </c>
      <c r="L56" s="72">
        <f t="shared" si="11"/>
        <v>3.5132588504509288E-2</v>
      </c>
    </row>
    <row r="57" spans="1:12" ht="15.75" hidden="1" thickBot="1" x14ac:dyDescent="0.3">
      <c r="A57">
        <v>3</v>
      </c>
      <c r="B57" s="27">
        <v>45530</v>
      </c>
      <c r="C57" s="175">
        <v>318174.80999999994</v>
      </c>
      <c r="D57" s="29">
        <v>0</v>
      </c>
      <c r="E57" s="30">
        <f t="shared" si="6"/>
        <v>318174.80999999994</v>
      </c>
      <c r="F57" s="28">
        <v>30000</v>
      </c>
      <c r="G57" s="28">
        <f t="shared" si="7"/>
        <v>10.605826999999998</v>
      </c>
      <c r="H57" s="65">
        <f t="shared" si="8"/>
        <v>-4.358856475384143E-3</v>
      </c>
      <c r="I57" s="72">
        <f t="shared" si="9"/>
        <v>6.0582699999999878E-2</v>
      </c>
      <c r="J57" s="95">
        <v>153.36000000000001</v>
      </c>
      <c r="K57" s="65">
        <f t="shared" si="10"/>
        <v>-2.8608582574772834E-3</v>
      </c>
      <c r="L57" s="72">
        <f t="shared" si="11"/>
        <v>3.217122089110247E-2</v>
      </c>
    </row>
    <row r="58" spans="1:12" ht="15.75" hidden="1" thickBot="1" x14ac:dyDescent="0.3">
      <c r="A58">
        <v>3</v>
      </c>
      <c r="B58" s="27">
        <v>45531</v>
      </c>
      <c r="C58" s="175">
        <v>318788.08</v>
      </c>
      <c r="D58" s="29">
        <v>0</v>
      </c>
      <c r="E58" s="30">
        <f t="shared" si="6"/>
        <v>318788.08</v>
      </c>
      <c r="F58" s="28">
        <v>30000</v>
      </c>
      <c r="G58" s="28">
        <f t="shared" si="7"/>
        <v>10.626269333333333</v>
      </c>
      <c r="H58" s="65">
        <f t="shared" si="8"/>
        <v>1.9274624537375384E-3</v>
      </c>
      <c r="I58" s="72">
        <f t="shared" si="9"/>
        <v>6.2626933333333357E-2</v>
      </c>
      <c r="J58" s="95">
        <v>153.59</v>
      </c>
      <c r="K58" s="65">
        <f t="shared" si="10"/>
        <v>1.4997391757953782E-3</v>
      </c>
      <c r="L58" s="72">
        <f t="shared" si="11"/>
        <v>3.3719208507201337E-2</v>
      </c>
    </row>
    <row r="59" spans="1:12" ht="15.75" hidden="1" thickBot="1" x14ac:dyDescent="0.3">
      <c r="A59">
        <v>3</v>
      </c>
      <c r="B59" s="27">
        <v>45532</v>
      </c>
      <c r="C59" s="175">
        <v>316940.38</v>
      </c>
      <c r="D59" s="29">
        <v>0</v>
      </c>
      <c r="E59" s="30">
        <f t="shared" si="6"/>
        <v>316940.38</v>
      </c>
      <c r="F59" s="28">
        <v>30000</v>
      </c>
      <c r="G59" s="28">
        <f t="shared" si="7"/>
        <v>10.564679333333334</v>
      </c>
      <c r="H59" s="65">
        <f t="shared" si="8"/>
        <v>-5.7960134519458029E-3</v>
      </c>
      <c r="I59" s="72">
        <f t="shared" si="9"/>
        <v>5.6467933333333331E-2</v>
      </c>
      <c r="J59" s="95">
        <v>152.86000000000001</v>
      </c>
      <c r="K59" s="65">
        <f t="shared" si="10"/>
        <v>-4.7529136011458251E-3</v>
      </c>
      <c r="L59" s="72">
        <f t="shared" si="11"/>
        <v>2.8806030421321793E-2</v>
      </c>
    </row>
    <row r="60" spans="1:12" ht="15.75" hidden="1" thickBot="1" x14ac:dyDescent="0.3">
      <c r="A60">
        <v>3</v>
      </c>
      <c r="B60" s="27">
        <v>45533</v>
      </c>
      <c r="C60" s="175">
        <v>316161.8</v>
      </c>
      <c r="D60" s="29">
        <v>0</v>
      </c>
      <c r="E60" s="30">
        <f t="shared" si="6"/>
        <v>316161.8</v>
      </c>
      <c r="F60" s="28">
        <v>30000</v>
      </c>
      <c r="G60" s="28">
        <f t="shared" si="7"/>
        <v>10.538726666666665</v>
      </c>
      <c r="H60" s="65">
        <f t="shared" si="8"/>
        <v>-2.4565503455257209E-3</v>
      </c>
      <c r="I60" s="72">
        <f t="shared" si="9"/>
        <v>5.3872666666666458E-2</v>
      </c>
      <c r="J60" s="95">
        <v>152.96</v>
      </c>
      <c r="K60" s="65">
        <f t="shared" si="10"/>
        <v>6.5419337956296175E-4</v>
      </c>
      <c r="L60" s="72">
        <f t="shared" si="11"/>
        <v>2.9479068515277929E-2</v>
      </c>
    </row>
    <row r="61" spans="1:12" ht="15.75" hidden="1" thickBot="1" x14ac:dyDescent="0.3">
      <c r="A61">
        <v>3</v>
      </c>
      <c r="B61" s="27">
        <v>45534</v>
      </c>
      <c r="C61" s="175">
        <v>318140.56449399999</v>
      </c>
      <c r="D61" s="29">
        <v>0</v>
      </c>
      <c r="E61" s="30">
        <f t="shared" si="6"/>
        <v>318140.56449399999</v>
      </c>
      <c r="F61" s="28">
        <v>30000</v>
      </c>
      <c r="G61" s="28">
        <f t="shared" si="7"/>
        <v>10.604685483133332</v>
      </c>
      <c r="H61" s="65">
        <f t="shared" si="8"/>
        <v>6.2587083385785558E-3</v>
      </c>
      <c r="I61" s="72">
        <f t="shared" si="9"/>
        <v>6.0468548313333148E-2</v>
      </c>
      <c r="J61" s="95">
        <v>154.18</v>
      </c>
      <c r="K61" s="65">
        <f t="shared" si="10"/>
        <v>7.9759414225941683E-3</v>
      </c>
      <c r="L61" s="72">
        <f t="shared" si="11"/>
        <v>3.7690133261542469E-2</v>
      </c>
    </row>
    <row r="62" spans="1:12" ht="15.75" hidden="1" thickBot="1" x14ac:dyDescent="0.3">
      <c r="A62">
        <v>3</v>
      </c>
      <c r="B62" s="27">
        <v>45535</v>
      </c>
      <c r="C62" s="175">
        <v>318140.56449399999</v>
      </c>
      <c r="D62" s="29">
        <v>0</v>
      </c>
      <c r="E62" s="30">
        <f t="shared" si="6"/>
        <v>318140.56449399999</v>
      </c>
      <c r="F62" s="28">
        <v>30000</v>
      </c>
      <c r="G62" s="28">
        <f t="shared" si="7"/>
        <v>10.604685483133332</v>
      </c>
      <c r="H62" s="65">
        <f t="shared" si="8"/>
        <v>0</v>
      </c>
      <c r="I62" s="72">
        <f t="shared" si="9"/>
        <v>6.0468548313333148E-2</v>
      </c>
      <c r="J62" s="95">
        <v>154.18</v>
      </c>
      <c r="K62" s="65">
        <f t="shared" si="10"/>
        <v>0</v>
      </c>
      <c r="L62" s="72">
        <f t="shared" si="11"/>
        <v>3.7690133261542469E-2</v>
      </c>
    </row>
    <row r="63" spans="1:12" ht="15.75" hidden="1" thickBot="1" x14ac:dyDescent="0.3">
      <c r="A63">
        <v>3</v>
      </c>
      <c r="B63" s="27">
        <v>45536</v>
      </c>
      <c r="C63" s="175">
        <v>318140.56449399999</v>
      </c>
      <c r="D63" s="29">
        <v>0</v>
      </c>
      <c r="E63" s="30">
        <f t="shared" si="6"/>
        <v>318140.56449399999</v>
      </c>
      <c r="F63" s="28">
        <v>30000</v>
      </c>
      <c r="G63" s="28">
        <f t="shared" si="7"/>
        <v>10.604685483133332</v>
      </c>
      <c r="H63" s="65">
        <f t="shared" si="8"/>
        <v>0</v>
      </c>
      <c r="I63" s="72">
        <f t="shared" si="9"/>
        <v>6.0468548313333148E-2</v>
      </c>
      <c r="J63" s="95">
        <v>154.18</v>
      </c>
      <c r="K63" s="65">
        <f t="shared" si="10"/>
        <v>0</v>
      </c>
      <c r="L63" s="72">
        <f t="shared" si="11"/>
        <v>3.7690133261542469E-2</v>
      </c>
    </row>
    <row r="64" spans="1:12" ht="15.75" hidden="1" thickBot="1" x14ac:dyDescent="0.3">
      <c r="A64">
        <v>3</v>
      </c>
      <c r="B64" s="27">
        <v>45537</v>
      </c>
      <c r="C64" s="175">
        <v>318140.56449399999</v>
      </c>
      <c r="D64" s="29">
        <v>0</v>
      </c>
      <c r="E64" s="30">
        <f t="shared" si="6"/>
        <v>318140.56449399999</v>
      </c>
      <c r="F64" s="28">
        <v>30000</v>
      </c>
      <c r="G64" s="28">
        <f t="shared" si="7"/>
        <v>10.604685483133332</v>
      </c>
      <c r="H64" s="65">
        <f t="shared" si="8"/>
        <v>0</v>
      </c>
      <c r="I64" s="72">
        <f t="shared" si="9"/>
        <v>6.0468548313333148E-2</v>
      </c>
      <c r="J64" s="95">
        <v>154.18</v>
      </c>
      <c r="K64" s="65">
        <f t="shared" si="10"/>
        <v>0</v>
      </c>
      <c r="L64" s="72">
        <f t="shared" si="11"/>
        <v>3.7690133261542469E-2</v>
      </c>
    </row>
    <row r="65" spans="1:12" ht="15.75" hidden="1" thickBot="1" x14ac:dyDescent="0.3">
      <c r="A65">
        <v>3</v>
      </c>
      <c r="B65" s="27">
        <v>45538</v>
      </c>
      <c r="C65" s="175">
        <v>310460.41905800003</v>
      </c>
      <c r="D65" s="29">
        <v>0</v>
      </c>
      <c r="E65" s="30">
        <f t="shared" si="6"/>
        <v>310460.41905800003</v>
      </c>
      <c r="F65" s="28">
        <v>30000</v>
      </c>
      <c r="G65" s="28">
        <f t="shared" si="7"/>
        <v>10.348680635266668</v>
      </c>
      <c r="H65" s="65">
        <f t="shared" si="8"/>
        <v>-2.4140729894709168E-2</v>
      </c>
      <c r="I65" s="72">
        <f t="shared" si="9"/>
        <v>3.4868063526666715E-2</v>
      </c>
      <c r="J65" s="95">
        <v>151.01</v>
      </c>
      <c r="K65" s="65">
        <f t="shared" si="10"/>
        <v>-2.0560383966792162E-2</v>
      </c>
      <c r="L65" s="72">
        <f t="shared" si="11"/>
        <v>1.6354825683133623E-2</v>
      </c>
    </row>
    <row r="66" spans="1:12" ht="15.75" hidden="1" thickBot="1" x14ac:dyDescent="0.3">
      <c r="A66">
        <v>3</v>
      </c>
      <c r="B66" s="27">
        <v>45539</v>
      </c>
      <c r="C66" s="175">
        <v>309179.89999999997</v>
      </c>
      <c r="D66" s="29">
        <v>0</v>
      </c>
      <c r="E66" s="30">
        <f t="shared" ref="E66:E97" si="12">C66-D66</f>
        <v>309179.89999999997</v>
      </c>
      <c r="F66" s="28">
        <v>30000</v>
      </c>
      <c r="G66" s="28">
        <f t="shared" ref="G66:G97" si="13">E66/F66</f>
        <v>10.305996666666665</v>
      </c>
      <c r="H66" s="65">
        <f t="shared" si="8"/>
        <v>-4.1245807175208649E-3</v>
      </c>
      <c r="I66" s="72">
        <f t="shared" si="9"/>
        <v>3.0599666666666581E-2</v>
      </c>
      <c r="J66" s="95">
        <v>150.72</v>
      </c>
      <c r="K66" s="65">
        <f t="shared" si="10"/>
        <v>-1.9204026223428317E-3</v>
      </c>
      <c r="L66" s="72">
        <f t="shared" si="11"/>
        <v>1.4403015210660897E-2</v>
      </c>
    </row>
    <row r="67" spans="1:12" ht="15.75" hidden="1" thickBot="1" x14ac:dyDescent="0.3">
      <c r="A67">
        <v>3</v>
      </c>
      <c r="B67" s="27">
        <v>45540</v>
      </c>
      <c r="C67" s="175">
        <v>307238.82</v>
      </c>
      <c r="D67" s="29">
        <v>0</v>
      </c>
      <c r="E67" s="30">
        <f t="shared" si="12"/>
        <v>307238.82</v>
      </c>
      <c r="F67" s="28">
        <v>30000</v>
      </c>
      <c r="G67" s="28">
        <f t="shared" si="13"/>
        <v>10.241294</v>
      </c>
      <c r="H67" s="65">
        <f t="shared" ref="H67:H98" si="14">G67/G66 -1</f>
        <v>-6.2781571505778899E-3</v>
      </c>
      <c r="I67" s="72">
        <f t="shared" ref="I67:I98" si="15">G67/$G$2-1</f>
        <v>2.4129400000000079E-2</v>
      </c>
      <c r="J67" s="95">
        <v>150.19</v>
      </c>
      <c r="K67" s="65">
        <f t="shared" ref="K67:K98" si="16">J67/J66 -1</f>
        <v>-3.5164543524416336E-3</v>
      </c>
      <c r="L67" s="72">
        <f t="shared" ref="L67:L98" si="17">J67/$J$2-1</f>
        <v>1.0835913312693402E-2</v>
      </c>
    </row>
    <row r="68" spans="1:12" ht="15.75" hidden="1" thickBot="1" x14ac:dyDescent="0.3">
      <c r="A68">
        <v>3</v>
      </c>
      <c r="B68" s="27">
        <v>45541</v>
      </c>
      <c r="C68" s="175">
        <v>304440.69</v>
      </c>
      <c r="D68" s="29">
        <v>0</v>
      </c>
      <c r="E68" s="30">
        <f t="shared" si="12"/>
        <v>304440.69</v>
      </c>
      <c r="F68" s="28">
        <v>30000</v>
      </c>
      <c r="G68" s="28">
        <f t="shared" si="13"/>
        <v>10.148023</v>
      </c>
      <c r="H68" s="65">
        <f t="shared" si="14"/>
        <v>-9.1073452241483555E-3</v>
      </c>
      <c r="I68" s="72">
        <f t="shared" si="15"/>
        <v>1.4802299999999935E-2</v>
      </c>
      <c r="J68" s="95">
        <v>147.75</v>
      </c>
      <c r="K68" s="65">
        <f t="shared" si="16"/>
        <v>-1.6246088288168314E-2</v>
      </c>
      <c r="L68" s="72">
        <f t="shared" si="17"/>
        <v>-5.5862161798359011E-3</v>
      </c>
    </row>
    <row r="69" spans="1:12" ht="15.75" hidden="1" thickBot="1" x14ac:dyDescent="0.3">
      <c r="A69">
        <v>3</v>
      </c>
      <c r="B69" s="27">
        <v>45542</v>
      </c>
      <c r="C69" s="175">
        <v>304440.69</v>
      </c>
      <c r="D69" s="29">
        <v>0</v>
      </c>
      <c r="E69" s="30">
        <f t="shared" si="12"/>
        <v>304440.69</v>
      </c>
      <c r="F69" s="28">
        <v>30000</v>
      </c>
      <c r="G69" s="28">
        <f t="shared" si="13"/>
        <v>10.148023</v>
      </c>
      <c r="H69" s="65">
        <f t="shared" si="14"/>
        <v>0</v>
      </c>
      <c r="I69" s="72">
        <f t="shared" si="15"/>
        <v>1.4802299999999935E-2</v>
      </c>
      <c r="J69" s="95">
        <v>147.75</v>
      </c>
      <c r="K69" s="65">
        <f t="shared" si="16"/>
        <v>0</v>
      </c>
      <c r="L69" s="72">
        <f t="shared" si="17"/>
        <v>-5.5862161798359011E-3</v>
      </c>
    </row>
    <row r="70" spans="1:12" ht="15.75" hidden="1" thickBot="1" x14ac:dyDescent="0.3">
      <c r="A70">
        <v>3</v>
      </c>
      <c r="B70" s="27">
        <v>45543</v>
      </c>
      <c r="C70" s="175">
        <v>304440.69</v>
      </c>
      <c r="D70" s="29">
        <v>0</v>
      </c>
      <c r="E70" s="30">
        <f t="shared" si="12"/>
        <v>304440.69</v>
      </c>
      <c r="F70" s="28">
        <v>30000</v>
      </c>
      <c r="G70" s="28">
        <f t="shared" si="13"/>
        <v>10.148023</v>
      </c>
      <c r="H70" s="65">
        <f t="shared" si="14"/>
        <v>0</v>
      </c>
      <c r="I70" s="72">
        <f t="shared" si="15"/>
        <v>1.4802299999999935E-2</v>
      </c>
      <c r="J70" s="95">
        <v>147.75</v>
      </c>
      <c r="K70" s="65">
        <f t="shared" si="16"/>
        <v>0</v>
      </c>
      <c r="L70" s="72">
        <f t="shared" si="17"/>
        <v>-5.5862161798359011E-3</v>
      </c>
    </row>
    <row r="71" spans="1:12" ht="15.75" hidden="1" thickBot="1" x14ac:dyDescent="0.3">
      <c r="A71">
        <v>3</v>
      </c>
      <c r="B71" s="27">
        <v>45544</v>
      </c>
      <c r="C71" s="175">
        <v>307238.82</v>
      </c>
      <c r="D71" s="29">
        <v>0</v>
      </c>
      <c r="E71" s="30">
        <f t="shared" si="12"/>
        <v>307238.82</v>
      </c>
      <c r="F71" s="28">
        <v>30000</v>
      </c>
      <c r="G71" s="28">
        <f t="shared" si="13"/>
        <v>10.241294</v>
      </c>
      <c r="H71" s="65">
        <f t="shared" si="14"/>
        <v>9.1910513013224726E-3</v>
      </c>
      <c r="I71" s="72">
        <f t="shared" si="15"/>
        <v>2.4129400000000079E-2</v>
      </c>
      <c r="J71" s="95">
        <v>149.33000000000001</v>
      </c>
      <c r="K71" s="65">
        <f t="shared" si="16"/>
        <v>1.0693739424703974E-2</v>
      </c>
      <c r="L71" s="72">
        <f t="shared" si="17"/>
        <v>5.047785704670904E-3</v>
      </c>
    </row>
    <row r="72" spans="1:12" ht="15.75" hidden="1" thickBot="1" x14ac:dyDescent="0.3">
      <c r="A72">
        <v>3</v>
      </c>
      <c r="B72" s="27">
        <v>45545</v>
      </c>
      <c r="C72" s="175">
        <v>308137.53999999998</v>
      </c>
      <c r="D72" s="29">
        <v>0</v>
      </c>
      <c r="E72" s="30">
        <f t="shared" si="12"/>
        <v>308137.53999999998</v>
      </c>
      <c r="F72" s="28">
        <v>30000</v>
      </c>
      <c r="G72" s="28">
        <f t="shared" si="13"/>
        <v>10.271251333333332</v>
      </c>
      <c r="H72" s="65">
        <f t="shared" si="14"/>
        <v>2.9251511902042004E-3</v>
      </c>
      <c r="I72" s="72">
        <f t="shared" si="15"/>
        <v>2.7125133333333107E-2</v>
      </c>
      <c r="J72" s="95">
        <v>149.74</v>
      </c>
      <c r="K72" s="65">
        <f t="shared" si="16"/>
        <v>2.7455969999330421E-3</v>
      </c>
      <c r="L72" s="72">
        <f t="shared" si="17"/>
        <v>7.8072418898909035E-3</v>
      </c>
    </row>
    <row r="73" spans="1:12" ht="15.75" hidden="1" thickBot="1" x14ac:dyDescent="0.3">
      <c r="A73">
        <v>3</v>
      </c>
      <c r="B73" s="27">
        <v>45546</v>
      </c>
      <c r="C73" s="175">
        <v>311160.745</v>
      </c>
      <c r="D73" s="29">
        <v>0</v>
      </c>
      <c r="E73" s="30">
        <f t="shared" si="12"/>
        <v>311160.745</v>
      </c>
      <c r="F73" s="28">
        <v>30000</v>
      </c>
      <c r="G73" s="28">
        <f t="shared" si="13"/>
        <v>10.372024833333333</v>
      </c>
      <c r="H73" s="65">
        <f t="shared" si="14"/>
        <v>9.8112193665205183E-3</v>
      </c>
      <c r="I73" s="72">
        <f t="shared" si="15"/>
        <v>3.7202483333333314E-2</v>
      </c>
      <c r="J73" s="95">
        <v>151.21</v>
      </c>
      <c r="K73" s="65">
        <f t="shared" si="16"/>
        <v>9.8170161613462259E-3</v>
      </c>
      <c r="L73" s="72">
        <f t="shared" si="17"/>
        <v>1.7700901871045893E-2</v>
      </c>
    </row>
    <row r="74" spans="1:12" ht="15.75" hidden="1" thickBot="1" x14ac:dyDescent="0.3">
      <c r="A74">
        <v>3</v>
      </c>
      <c r="B74" s="27">
        <v>45547</v>
      </c>
      <c r="C74" s="175">
        <v>313554.05</v>
      </c>
      <c r="D74" s="29">
        <v>0</v>
      </c>
      <c r="E74" s="30">
        <f t="shared" si="12"/>
        <v>313554.05</v>
      </c>
      <c r="F74" s="28">
        <v>30000</v>
      </c>
      <c r="G74" s="28">
        <f t="shared" si="13"/>
        <v>10.451801666666666</v>
      </c>
      <c r="H74" s="65">
        <f t="shared" si="14"/>
        <v>7.6915389825282787E-3</v>
      </c>
      <c r="I74" s="72">
        <f t="shared" si="15"/>
        <v>4.5180166666666688E-2</v>
      </c>
      <c r="J74" s="95">
        <v>152.36000000000001</v>
      </c>
      <c r="K74" s="65">
        <f t="shared" si="16"/>
        <v>7.6053171086569726E-3</v>
      </c>
      <c r="L74" s="72">
        <f t="shared" si="17"/>
        <v>2.5440839951541339E-2</v>
      </c>
    </row>
    <row r="75" spans="1:12" ht="15.75" hidden="1" thickBot="1" x14ac:dyDescent="0.3">
      <c r="A75">
        <v>3</v>
      </c>
      <c r="B75" s="27">
        <v>45548</v>
      </c>
      <c r="C75" s="95">
        <v>315522.76999999996</v>
      </c>
      <c r="D75" s="29">
        <v>0</v>
      </c>
      <c r="E75" s="30">
        <f t="shared" si="12"/>
        <v>315522.76999999996</v>
      </c>
      <c r="F75" s="28">
        <v>30000</v>
      </c>
      <c r="G75" s="28">
        <f t="shared" si="13"/>
        <v>10.517425666666666</v>
      </c>
      <c r="H75" s="65">
        <f t="shared" si="14"/>
        <v>6.2787261079868539E-3</v>
      </c>
      <c r="I75" s="72">
        <f t="shared" si="15"/>
        <v>5.1742566666666656E-2</v>
      </c>
      <c r="J75" s="95">
        <v>153.13999999999999</v>
      </c>
      <c r="K75" s="65">
        <f t="shared" si="16"/>
        <v>5.1194539249144189E-3</v>
      </c>
      <c r="L75" s="72">
        <f t="shared" si="17"/>
        <v>3.0690537084398839E-2</v>
      </c>
    </row>
    <row r="76" spans="1:12" ht="15.75" hidden="1" thickBot="1" x14ac:dyDescent="0.3">
      <c r="A76">
        <v>3</v>
      </c>
      <c r="B76" s="27">
        <v>45549</v>
      </c>
      <c r="C76" s="95">
        <v>315522.76999999996</v>
      </c>
      <c r="D76" s="29">
        <v>0</v>
      </c>
      <c r="E76" s="30">
        <f t="shared" si="12"/>
        <v>315522.76999999996</v>
      </c>
      <c r="F76" s="28">
        <v>30000</v>
      </c>
      <c r="G76" s="28">
        <f t="shared" si="13"/>
        <v>10.517425666666666</v>
      </c>
      <c r="H76" s="65">
        <f t="shared" si="14"/>
        <v>0</v>
      </c>
      <c r="I76" s="72">
        <f t="shared" si="15"/>
        <v>5.1742566666666656E-2</v>
      </c>
      <c r="J76" s="95">
        <v>153.13999999999999</v>
      </c>
      <c r="K76" s="65">
        <f t="shared" si="16"/>
        <v>0</v>
      </c>
      <c r="L76" s="72">
        <f t="shared" si="17"/>
        <v>3.0690537084398839E-2</v>
      </c>
    </row>
    <row r="77" spans="1:12" ht="15.75" hidden="1" thickBot="1" x14ac:dyDescent="0.3">
      <c r="A77">
        <v>3</v>
      </c>
      <c r="B77" s="27">
        <v>45550</v>
      </c>
      <c r="C77" s="95">
        <v>315522.76999999996</v>
      </c>
      <c r="D77" s="29">
        <v>0</v>
      </c>
      <c r="E77" s="30">
        <f t="shared" si="12"/>
        <v>315522.76999999996</v>
      </c>
      <c r="F77" s="28">
        <v>30000</v>
      </c>
      <c r="G77" s="28">
        <f t="shared" si="13"/>
        <v>10.517425666666666</v>
      </c>
      <c r="H77" s="65">
        <f t="shared" si="14"/>
        <v>0</v>
      </c>
      <c r="I77" s="72">
        <f t="shared" si="15"/>
        <v>5.1742566666666656E-2</v>
      </c>
      <c r="J77" s="95">
        <v>153.13999999999999</v>
      </c>
      <c r="K77" s="65">
        <f t="shared" si="16"/>
        <v>0</v>
      </c>
      <c r="L77" s="72">
        <f t="shared" si="17"/>
        <v>3.0690537084398839E-2</v>
      </c>
    </row>
    <row r="78" spans="1:12" ht="15.75" hidden="1" thickBot="1" x14ac:dyDescent="0.3">
      <c r="A78">
        <v>3</v>
      </c>
      <c r="B78" s="27">
        <v>45551</v>
      </c>
      <c r="C78" s="95">
        <v>316718.34500000003</v>
      </c>
      <c r="D78" s="29">
        <v>0</v>
      </c>
      <c r="E78" s="30">
        <f t="shared" si="12"/>
        <v>316718.34500000003</v>
      </c>
      <c r="F78" s="28">
        <v>30000</v>
      </c>
      <c r="G78" s="28">
        <f t="shared" si="13"/>
        <v>10.557278166666668</v>
      </c>
      <c r="H78" s="65">
        <f t="shared" si="14"/>
        <v>3.7891877026816623E-3</v>
      </c>
      <c r="I78" s="72">
        <f t="shared" si="15"/>
        <v>5.5727816666666818E-2</v>
      </c>
      <c r="J78" s="95">
        <v>153.66999999999999</v>
      </c>
      <c r="K78" s="65">
        <f t="shared" si="16"/>
        <v>3.4608854642810272E-3</v>
      </c>
      <c r="L78" s="72">
        <f t="shared" si="17"/>
        <v>3.4257638982366334E-2</v>
      </c>
    </row>
    <row r="79" spans="1:12" ht="15.75" hidden="1" thickBot="1" x14ac:dyDescent="0.3">
      <c r="A79">
        <v>3</v>
      </c>
      <c r="B79" s="27">
        <v>45552</v>
      </c>
      <c r="C79" s="95">
        <v>316838.38</v>
      </c>
      <c r="D79" s="29">
        <v>0</v>
      </c>
      <c r="E79" s="30">
        <f t="shared" si="12"/>
        <v>316838.38</v>
      </c>
      <c r="F79" s="28">
        <v>30000</v>
      </c>
      <c r="G79" s="28">
        <f t="shared" si="13"/>
        <v>10.561279333333333</v>
      </c>
      <c r="H79" s="65">
        <f t="shared" si="14"/>
        <v>3.7899604457702907E-4</v>
      </c>
      <c r="I79" s="72">
        <f t="shared" si="15"/>
        <v>5.6127933333333324E-2</v>
      </c>
      <c r="J79" s="95">
        <v>153.41999999999999</v>
      </c>
      <c r="K79" s="65">
        <f t="shared" si="16"/>
        <v>-1.6268627578577277E-3</v>
      </c>
      <c r="L79" s="72">
        <f t="shared" si="17"/>
        <v>3.2575043747475885E-2</v>
      </c>
    </row>
    <row r="80" spans="1:12" ht="15.75" hidden="1" thickBot="1" x14ac:dyDescent="0.3">
      <c r="A80">
        <v>3</v>
      </c>
      <c r="B80" s="27">
        <v>45553</v>
      </c>
      <c r="C80" s="95">
        <v>316443.25999999995</v>
      </c>
      <c r="D80" s="29">
        <v>0</v>
      </c>
      <c r="E80" s="30">
        <f t="shared" si="12"/>
        <v>316443.25999999995</v>
      </c>
      <c r="F80" s="28">
        <v>30000</v>
      </c>
      <c r="G80" s="28">
        <f t="shared" si="13"/>
        <v>10.548108666666666</v>
      </c>
      <c r="H80" s="65">
        <f t="shared" si="14"/>
        <v>-1.2470711408132384E-3</v>
      </c>
      <c r="I80" s="72">
        <f t="shared" si="15"/>
        <v>5.481086666666668E-2</v>
      </c>
      <c r="J80" s="95">
        <v>153.01</v>
      </c>
      <c r="K80" s="65">
        <f t="shared" si="16"/>
        <v>-2.6724025550775021E-3</v>
      </c>
      <c r="L80" s="72">
        <f t="shared" si="17"/>
        <v>2.9815587562255885E-2</v>
      </c>
    </row>
    <row r="81" spans="1:12" ht="15.75" hidden="1" thickBot="1" x14ac:dyDescent="0.3">
      <c r="A81">
        <v>3</v>
      </c>
      <c r="B81" s="27">
        <v>45554</v>
      </c>
      <c r="C81" s="95">
        <v>319788.99</v>
      </c>
      <c r="D81" s="29">
        <v>0</v>
      </c>
      <c r="E81" s="30">
        <f t="shared" si="12"/>
        <v>319788.99</v>
      </c>
      <c r="F81" s="28">
        <v>30000</v>
      </c>
      <c r="G81" s="28">
        <f t="shared" si="13"/>
        <v>10.659632999999999</v>
      </c>
      <c r="H81" s="65">
        <f t="shared" si="14"/>
        <v>1.0572922298929699E-2</v>
      </c>
      <c r="I81" s="72">
        <f t="shared" si="15"/>
        <v>6.5963299999999947E-2</v>
      </c>
      <c r="J81" s="95">
        <v>155.66</v>
      </c>
      <c r="K81" s="65">
        <f t="shared" si="16"/>
        <v>1.731912946866232E-2</v>
      </c>
      <c r="L81" s="72">
        <f t="shared" si="17"/>
        <v>4.7651097052093139E-2</v>
      </c>
    </row>
    <row r="82" spans="1:12" ht="15.75" hidden="1" thickBot="1" x14ac:dyDescent="0.3">
      <c r="A82">
        <v>3</v>
      </c>
      <c r="B82" s="27">
        <v>45555</v>
      </c>
      <c r="C82" s="95">
        <v>318956.74</v>
      </c>
      <c r="D82" s="29">
        <v>0</v>
      </c>
      <c r="E82" s="30">
        <f t="shared" si="12"/>
        <v>318956.74</v>
      </c>
      <c r="F82" s="28">
        <v>30000</v>
      </c>
      <c r="G82" s="28">
        <f t="shared" si="13"/>
        <v>10.631891333333334</v>
      </c>
      <c r="H82" s="65">
        <f t="shared" si="14"/>
        <v>-2.6024973530200946E-3</v>
      </c>
      <c r="I82" s="72">
        <f t="shared" si="15"/>
        <v>6.3189133333333425E-2</v>
      </c>
      <c r="J82" s="95">
        <v>155.11000000000001</v>
      </c>
      <c r="K82" s="65">
        <f t="shared" si="16"/>
        <v>-3.5333418990105558E-3</v>
      </c>
      <c r="L82" s="72">
        <f t="shared" si="17"/>
        <v>4.3949387535334505E-2</v>
      </c>
    </row>
    <row r="83" spans="1:12" ht="15.75" hidden="1" thickBot="1" x14ac:dyDescent="0.3">
      <c r="A83">
        <v>3</v>
      </c>
      <c r="B83" s="27">
        <v>45556</v>
      </c>
      <c r="C83" s="95">
        <v>318956.74</v>
      </c>
      <c r="D83" s="29">
        <v>0</v>
      </c>
      <c r="E83" s="30">
        <f t="shared" si="12"/>
        <v>318956.74</v>
      </c>
      <c r="F83" s="28">
        <v>30000</v>
      </c>
      <c r="G83" s="28">
        <f t="shared" si="13"/>
        <v>10.631891333333334</v>
      </c>
      <c r="H83" s="65">
        <f t="shared" si="14"/>
        <v>0</v>
      </c>
      <c r="I83" s="72">
        <f t="shared" si="15"/>
        <v>6.3189133333333425E-2</v>
      </c>
      <c r="J83" s="95">
        <v>156.11000000000001</v>
      </c>
      <c r="K83" s="65">
        <f t="shared" si="16"/>
        <v>6.4470375862291096E-3</v>
      </c>
      <c r="L83" s="72">
        <f t="shared" si="17"/>
        <v>5.0679768474895637E-2</v>
      </c>
    </row>
    <row r="84" spans="1:12" ht="15.75" hidden="1" thickBot="1" x14ac:dyDescent="0.3">
      <c r="A84">
        <v>3</v>
      </c>
      <c r="B84" s="27">
        <v>45557</v>
      </c>
      <c r="C84" s="95">
        <v>318956.74</v>
      </c>
      <c r="D84" s="29">
        <v>0</v>
      </c>
      <c r="E84" s="30">
        <f t="shared" si="12"/>
        <v>318956.74</v>
      </c>
      <c r="F84" s="28">
        <v>30000</v>
      </c>
      <c r="G84" s="28">
        <f t="shared" si="13"/>
        <v>10.631891333333334</v>
      </c>
      <c r="H84" s="65">
        <f t="shared" si="14"/>
        <v>0</v>
      </c>
      <c r="I84" s="72">
        <f t="shared" si="15"/>
        <v>6.3189133333333425E-2</v>
      </c>
      <c r="J84" s="95">
        <v>157.11000000000001</v>
      </c>
      <c r="K84" s="65">
        <f t="shared" si="16"/>
        <v>6.4057395426302399E-3</v>
      </c>
      <c r="L84" s="72">
        <f t="shared" si="17"/>
        <v>5.7410149414456768E-2</v>
      </c>
    </row>
    <row r="85" spans="1:12" ht="15.75" hidden="1" thickBot="1" x14ac:dyDescent="0.3">
      <c r="A85">
        <v>3</v>
      </c>
      <c r="B85" s="27">
        <v>45558</v>
      </c>
      <c r="C85" s="95">
        <v>319105.59499999997</v>
      </c>
      <c r="D85" s="29">
        <v>0</v>
      </c>
      <c r="E85" s="30">
        <f t="shared" si="12"/>
        <v>319105.59499999997</v>
      </c>
      <c r="F85" s="28">
        <v>30000</v>
      </c>
      <c r="G85" s="28">
        <f t="shared" si="13"/>
        <v>10.636853166666667</v>
      </c>
      <c r="H85" s="65">
        <f t="shared" si="14"/>
        <v>4.666933829333697E-4</v>
      </c>
      <c r="I85" s="72">
        <f t="shared" si="15"/>
        <v>6.3685316666666658E-2</v>
      </c>
      <c r="J85" s="95">
        <v>155.58000000000001</v>
      </c>
      <c r="K85" s="65">
        <f t="shared" si="16"/>
        <v>-9.7383998472407862E-3</v>
      </c>
      <c r="L85" s="72">
        <f t="shared" si="17"/>
        <v>4.7112666576928142E-2</v>
      </c>
    </row>
    <row r="86" spans="1:12" ht="15.75" hidden="1" thickBot="1" x14ac:dyDescent="0.3">
      <c r="A86">
        <v>3</v>
      </c>
      <c r="B86" s="27">
        <v>45559</v>
      </c>
      <c r="C86" s="95">
        <v>319705.61</v>
      </c>
      <c r="D86" s="29">
        <v>0</v>
      </c>
      <c r="E86" s="30">
        <f t="shared" si="12"/>
        <v>319705.61</v>
      </c>
      <c r="F86" s="28">
        <v>30000</v>
      </c>
      <c r="G86" s="28">
        <f t="shared" si="13"/>
        <v>10.656853666666667</v>
      </c>
      <c r="H86" s="65">
        <f t="shared" si="14"/>
        <v>1.8803023494464721E-3</v>
      </c>
      <c r="I86" s="72">
        <f t="shared" si="15"/>
        <v>6.5685366666666578E-2</v>
      </c>
      <c r="J86" s="95">
        <v>156.07</v>
      </c>
      <c r="K86" s="65">
        <f t="shared" si="16"/>
        <v>3.1495050777734512E-3</v>
      </c>
      <c r="L86" s="72">
        <f t="shared" si="17"/>
        <v>5.0410553237313138E-2</v>
      </c>
    </row>
    <row r="87" spans="1:12" ht="15.75" hidden="1" thickBot="1" x14ac:dyDescent="0.3">
      <c r="A87">
        <v>3</v>
      </c>
      <c r="B87" s="27">
        <v>45560</v>
      </c>
      <c r="C87" s="95">
        <v>318479.18999999994</v>
      </c>
      <c r="D87" s="29">
        <v>0</v>
      </c>
      <c r="E87" s="30">
        <f t="shared" si="12"/>
        <v>318479.18999999994</v>
      </c>
      <c r="F87" s="28">
        <v>30000</v>
      </c>
      <c r="G87" s="28">
        <f t="shared" si="13"/>
        <v>10.615972999999999</v>
      </c>
      <c r="H87" s="65">
        <f t="shared" si="14"/>
        <v>-3.8360915843799193E-3</v>
      </c>
      <c r="I87" s="72">
        <f t="shared" si="15"/>
        <v>6.1597299999999855E-2</v>
      </c>
      <c r="J87" s="95">
        <v>155.68</v>
      </c>
      <c r="K87" s="65">
        <f t="shared" si="16"/>
        <v>-2.4988787082718122E-3</v>
      </c>
      <c r="L87" s="72">
        <f t="shared" si="17"/>
        <v>4.7785704670884277E-2</v>
      </c>
    </row>
    <row r="88" spans="1:12" ht="15.75" hidden="1" thickBot="1" x14ac:dyDescent="0.3">
      <c r="A88">
        <v>3</v>
      </c>
      <c r="B88" s="27">
        <v>45561</v>
      </c>
      <c r="C88" s="95">
        <v>320003.09000000003</v>
      </c>
      <c r="D88" s="29">
        <v>0</v>
      </c>
      <c r="E88" s="30">
        <f t="shared" si="12"/>
        <v>320003.09000000003</v>
      </c>
      <c r="F88" s="28">
        <v>30000</v>
      </c>
      <c r="G88" s="28">
        <f t="shared" si="13"/>
        <v>10.666769666666667</v>
      </c>
      <c r="H88" s="65">
        <f t="shared" si="14"/>
        <v>4.7849280199439015E-3</v>
      </c>
      <c r="I88" s="72">
        <f t="shared" si="15"/>
        <v>6.667696666666667E-2</v>
      </c>
      <c r="J88" s="95">
        <v>157.1</v>
      </c>
      <c r="K88" s="65">
        <f t="shared" si="16"/>
        <v>9.1212744090440889E-3</v>
      </c>
      <c r="L88" s="72">
        <f t="shared" si="17"/>
        <v>5.7342845605061088E-2</v>
      </c>
    </row>
    <row r="89" spans="1:12" ht="15.75" hidden="1" thickBot="1" x14ac:dyDescent="0.3">
      <c r="A89">
        <v>3</v>
      </c>
      <c r="B89" s="27">
        <v>45562</v>
      </c>
      <c r="C89" s="95">
        <v>320411.55</v>
      </c>
      <c r="D89" s="29">
        <v>0</v>
      </c>
      <c r="E89" s="30">
        <f t="shared" si="12"/>
        <v>320411.55</v>
      </c>
      <c r="F89" s="28">
        <v>30000</v>
      </c>
      <c r="G89" s="28">
        <f t="shared" si="13"/>
        <v>10.680384999999999</v>
      </c>
      <c r="H89" s="65">
        <f t="shared" si="14"/>
        <v>1.2764251745192023E-3</v>
      </c>
      <c r="I89" s="72">
        <f t="shared" si="15"/>
        <v>6.8038499999999891E-2</v>
      </c>
      <c r="J89" s="95">
        <v>156.37</v>
      </c>
      <c r="K89" s="65">
        <f t="shared" si="16"/>
        <v>-4.6467218332272298E-3</v>
      </c>
      <c r="L89" s="72">
        <f t="shared" si="17"/>
        <v>5.2429667519181544E-2</v>
      </c>
    </row>
    <row r="90" spans="1:12" ht="15.75" hidden="1" thickBot="1" x14ac:dyDescent="0.3">
      <c r="A90">
        <v>3</v>
      </c>
      <c r="B90" s="27">
        <v>45563</v>
      </c>
      <c r="C90" s="95">
        <v>320411.55</v>
      </c>
      <c r="D90" s="29">
        <v>0</v>
      </c>
      <c r="E90" s="30">
        <f t="shared" si="12"/>
        <v>320411.55</v>
      </c>
      <c r="F90" s="28">
        <v>30000</v>
      </c>
      <c r="G90" s="28">
        <f t="shared" si="13"/>
        <v>10.680384999999999</v>
      </c>
      <c r="H90" s="65">
        <f t="shared" si="14"/>
        <v>0</v>
      </c>
      <c r="I90" s="72">
        <f t="shared" si="15"/>
        <v>6.8038499999999891E-2</v>
      </c>
      <c r="J90" s="95">
        <v>156.37</v>
      </c>
      <c r="K90" s="65">
        <f t="shared" si="16"/>
        <v>0</v>
      </c>
      <c r="L90" s="72">
        <f t="shared" si="17"/>
        <v>5.2429667519181544E-2</v>
      </c>
    </row>
    <row r="91" spans="1:12" ht="15.75" hidden="1" thickBot="1" x14ac:dyDescent="0.3">
      <c r="A91">
        <v>3</v>
      </c>
      <c r="B91" s="27">
        <v>45564</v>
      </c>
      <c r="C91" s="95">
        <v>320411.55</v>
      </c>
      <c r="D91" s="29">
        <v>0</v>
      </c>
      <c r="E91" s="30">
        <f t="shared" si="12"/>
        <v>320411.55</v>
      </c>
      <c r="F91" s="28">
        <v>30000</v>
      </c>
      <c r="G91" s="28">
        <f t="shared" si="13"/>
        <v>10.680384999999999</v>
      </c>
      <c r="H91" s="65">
        <f t="shared" si="14"/>
        <v>0</v>
      </c>
      <c r="I91" s="72">
        <f t="shared" si="15"/>
        <v>6.8038499999999891E-2</v>
      </c>
      <c r="J91" s="95">
        <v>156.37</v>
      </c>
      <c r="K91" s="65">
        <f t="shared" si="16"/>
        <v>0</v>
      </c>
      <c r="L91" s="72">
        <f t="shared" si="17"/>
        <v>5.2429667519181544E-2</v>
      </c>
    </row>
    <row r="92" spans="1:12" ht="15.75" hidden="1" thickBot="1" x14ac:dyDescent="0.3">
      <c r="A92">
        <v>3</v>
      </c>
      <c r="B92" s="27">
        <v>45565</v>
      </c>
      <c r="C92" s="95">
        <v>320877.99</v>
      </c>
      <c r="D92" s="29">
        <v>0</v>
      </c>
      <c r="E92" s="30">
        <f t="shared" si="12"/>
        <v>320877.99</v>
      </c>
      <c r="F92" s="28">
        <v>30000</v>
      </c>
      <c r="G92" s="28">
        <f t="shared" si="13"/>
        <v>10.695933</v>
      </c>
      <c r="H92" s="65">
        <f t="shared" si="14"/>
        <v>1.4557527654668334E-3</v>
      </c>
      <c r="I92" s="72">
        <f t="shared" si="15"/>
        <v>6.9593299999999969E-2</v>
      </c>
      <c r="J92" s="95">
        <v>156.91</v>
      </c>
      <c r="K92" s="65">
        <f t="shared" si="16"/>
        <v>3.4533478288674146E-3</v>
      </c>
      <c r="L92" s="72">
        <f t="shared" si="17"/>
        <v>5.6064073226544497E-2</v>
      </c>
    </row>
    <row r="93" spans="1:12" ht="15.75" hidden="1" thickBot="1" x14ac:dyDescent="0.3">
      <c r="A93">
        <v>4</v>
      </c>
      <c r="B93" s="27">
        <v>45566</v>
      </c>
      <c r="C93" s="175">
        <v>319009.76999999996</v>
      </c>
      <c r="D93" s="29">
        <v>0</v>
      </c>
      <c r="E93" s="30">
        <f t="shared" si="12"/>
        <v>319009.76999999996</v>
      </c>
      <c r="F93" s="28">
        <v>30000</v>
      </c>
      <c r="G93" s="28">
        <f t="shared" si="13"/>
        <v>10.633658999999998</v>
      </c>
      <c r="H93" s="65">
        <f t="shared" si="14"/>
        <v>-5.8222129850665771E-3</v>
      </c>
      <c r="I93" s="72">
        <f t="shared" si="15"/>
        <v>6.3365899999999753E-2</v>
      </c>
      <c r="J93" s="95">
        <v>155.61000000000001</v>
      </c>
      <c r="K93" s="65">
        <f t="shared" si="16"/>
        <v>-8.2850041425019949E-3</v>
      </c>
      <c r="L93" s="72">
        <f t="shared" si="17"/>
        <v>4.7314578005115182E-2</v>
      </c>
    </row>
    <row r="94" spans="1:12" ht="15.75" hidden="1" thickBot="1" x14ac:dyDescent="0.3">
      <c r="A94">
        <v>4</v>
      </c>
      <c r="B94" s="27">
        <v>45567</v>
      </c>
      <c r="C94" s="175">
        <v>318076.27</v>
      </c>
      <c r="D94" s="29">
        <v>0</v>
      </c>
      <c r="E94" s="30">
        <f t="shared" si="12"/>
        <v>318076.27</v>
      </c>
      <c r="F94" s="28">
        <v>30000</v>
      </c>
      <c r="G94" s="28">
        <f t="shared" si="13"/>
        <v>10.602542333333334</v>
      </c>
      <c r="H94" s="65">
        <f t="shared" si="14"/>
        <v>-2.9262426664861119E-3</v>
      </c>
      <c r="I94" s="72">
        <f t="shared" si="15"/>
        <v>6.0254233333333351E-2</v>
      </c>
      <c r="J94" s="95">
        <v>155.16</v>
      </c>
      <c r="K94" s="65">
        <f t="shared" si="16"/>
        <v>-2.8918449971082616E-3</v>
      </c>
      <c r="L94" s="72">
        <f t="shared" si="17"/>
        <v>4.4285906582312462E-2</v>
      </c>
    </row>
    <row r="95" spans="1:12" ht="15.75" hidden="1" thickBot="1" x14ac:dyDescent="0.3">
      <c r="A95">
        <v>4</v>
      </c>
      <c r="B95" s="27">
        <v>45568</v>
      </c>
      <c r="C95" s="95">
        <v>318095.38999999996</v>
      </c>
      <c r="D95" s="29">
        <v>0</v>
      </c>
      <c r="E95" s="30">
        <f t="shared" si="12"/>
        <v>318095.38999999996</v>
      </c>
      <c r="F95" s="28">
        <v>30000</v>
      </c>
      <c r="G95" s="28">
        <f t="shared" si="13"/>
        <v>10.603179666666666</v>
      </c>
      <c r="H95" s="65">
        <f t="shared" si="14"/>
        <v>6.0111368886284211E-5</v>
      </c>
      <c r="I95" s="72">
        <f t="shared" si="15"/>
        <v>6.0317966666666667E-2</v>
      </c>
      <c r="J95" s="95">
        <v>155.11000000000001</v>
      </c>
      <c r="K95" s="65">
        <f t="shared" si="16"/>
        <v>-3.2224800206226423E-4</v>
      </c>
      <c r="L95" s="72">
        <f t="shared" si="17"/>
        <v>4.3949387535334505E-2</v>
      </c>
    </row>
    <row r="96" spans="1:12" ht="15.75" hidden="1" thickBot="1" x14ac:dyDescent="0.3">
      <c r="A96">
        <v>4</v>
      </c>
      <c r="B96" s="27">
        <v>45569</v>
      </c>
      <c r="C96" s="95">
        <v>319412.72499999998</v>
      </c>
      <c r="D96" s="29">
        <v>0</v>
      </c>
      <c r="E96" s="30">
        <f t="shared" si="12"/>
        <v>319412.72499999998</v>
      </c>
      <c r="F96" s="28">
        <v>30000</v>
      </c>
      <c r="G96" s="28">
        <f t="shared" si="13"/>
        <v>10.647090833333333</v>
      </c>
      <c r="H96" s="65">
        <f t="shared" si="14"/>
        <v>4.1413206271239122E-3</v>
      </c>
      <c r="I96" s="72">
        <f t="shared" si="15"/>
        <v>6.470908333333325E-2</v>
      </c>
      <c r="J96" s="95">
        <v>156.34</v>
      </c>
      <c r="K96" s="65">
        <f t="shared" si="16"/>
        <v>7.9298562310616827E-3</v>
      </c>
      <c r="L96" s="72">
        <f t="shared" si="17"/>
        <v>5.2227756090994726E-2</v>
      </c>
    </row>
    <row r="97" spans="1:12" ht="15.75" hidden="1" thickBot="1" x14ac:dyDescent="0.3">
      <c r="A97">
        <v>4</v>
      </c>
      <c r="B97" s="27">
        <v>45570</v>
      </c>
      <c r="C97" s="95">
        <v>319412.72499999998</v>
      </c>
      <c r="D97" s="29">
        <v>0</v>
      </c>
      <c r="E97" s="30">
        <f t="shared" si="12"/>
        <v>319412.72499999998</v>
      </c>
      <c r="F97" s="28">
        <v>30000</v>
      </c>
      <c r="G97" s="28">
        <f t="shared" si="13"/>
        <v>10.647090833333333</v>
      </c>
      <c r="H97" s="65">
        <f t="shared" si="14"/>
        <v>0</v>
      </c>
      <c r="I97" s="72">
        <f t="shared" si="15"/>
        <v>6.470908333333325E-2</v>
      </c>
      <c r="J97" s="95">
        <v>156.34</v>
      </c>
      <c r="K97" s="65">
        <f t="shared" si="16"/>
        <v>0</v>
      </c>
      <c r="L97" s="72">
        <f t="shared" si="17"/>
        <v>5.2227756090994726E-2</v>
      </c>
    </row>
    <row r="98" spans="1:12" ht="15.75" hidden="1" thickBot="1" x14ac:dyDescent="0.3">
      <c r="A98">
        <v>4</v>
      </c>
      <c r="B98" s="27">
        <v>45571</v>
      </c>
      <c r="C98" s="95">
        <v>319412.72499999998</v>
      </c>
      <c r="D98" s="29">
        <v>0</v>
      </c>
      <c r="E98" s="30">
        <f t="shared" ref="E98:E129" si="18">C98-D98</f>
        <v>319412.72499999998</v>
      </c>
      <c r="F98" s="28">
        <v>30000</v>
      </c>
      <c r="G98" s="28">
        <f t="shared" ref="G98:G129" si="19">E98/F98</f>
        <v>10.647090833333333</v>
      </c>
      <c r="H98" s="65">
        <f t="shared" si="14"/>
        <v>0</v>
      </c>
      <c r="I98" s="72">
        <f t="shared" si="15"/>
        <v>6.470908333333325E-2</v>
      </c>
      <c r="J98" s="95">
        <v>156.34</v>
      </c>
      <c r="K98" s="65">
        <f t="shared" si="16"/>
        <v>0</v>
      </c>
      <c r="L98" s="72">
        <f t="shared" si="17"/>
        <v>5.2227756090994726E-2</v>
      </c>
    </row>
    <row r="99" spans="1:12" ht="15.75" hidden="1" thickBot="1" x14ac:dyDescent="0.3">
      <c r="A99">
        <v>4</v>
      </c>
      <c r="B99" s="27">
        <v>45572</v>
      </c>
      <c r="C99" s="95">
        <v>317392.95</v>
      </c>
      <c r="D99" s="29">
        <v>0</v>
      </c>
      <c r="E99" s="30">
        <f t="shared" si="18"/>
        <v>317392.95</v>
      </c>
      <c r="F99" s="28">
        <v>30000</v>
      </c>
      <c r="G99" s="28">
        <f t="shared" si="19"/>
        <v>10.579765</v>
      </c>
      <c r="H99" s="65">
        <f t="shared" ref="H99:H130" si="20">G99/G98 -1</f>
        <v>-6.3234017993490932E-3</v>
      </c>
      <c r="I99" s="72">
        <f t="shared" ref="I99:I130" si="21">G99/$G$2-1</f>
        <v>5.7976500000000097E-2</v>
      </c>
      <c r="J99" s="95">
        <v>155</v>
      </c>
      <c r="K99" s="65">
        <f t="shared" ref="K99:K130" si="22">J99/J98 -1</f>
        <v>-8.5710630676730792E-3</v>
      </c>
      <c r="L99" s="72">
        <f t="shared" ref="L99:L130" si="23">J99/$J$2-1</f>
        <v>4.320904563198269E-2</v>
      </c>
    </row>
    <row r="100" spans="1:12" ht="15.75" hidden="1" thickBot="1" x14ac:dyDescent="0.3">
      <c r="A100">
        <v>4</v>
      </c>
      <c r="B100" s="27">
        <v>45573</v>
      </c>
      <c r="C100" s="95">
        <v>319412.72499999998</v>
      </c>
      <c r="D100" s="29">
        <v>0</v>
      </c>
      <c r="E100" s="30">
        <f t="shared" si="18"/>
        <v>319412.72499999998</v>
      </c>
      <c r="F100" s="28">
        <v>30000</v>
      </c>
      <c r="G100" s="28">
        <f t="shared" si="19"/>
        <v>10.647090833333333</v>
      </c>
      <c r="H100" s="65">
        <f t="shared" si="20"/>
        <v>6.3636416624881509E-3</v>
      </c>
      <c r="I100" s="72">
        <f t="shared" si="21"/>
        <v>6.470908333333325E-2</v>
      </c>
      <c r="J100" s="95">
        <v>156.07</v>
      </c>
      <c r="K100" s="65">
        <f t="shared" si="22"/>
        <v>6.9032258064516405E-3</v>
      </c>
      <c r="L100" s="72">
        <f t="shared" si="23"/>
        <v>5.0410553237313138E-2</v>
      </c>
    </row>
    <row r="101" spans="1:12" ht="15.75" hidden="1" thickBot="1" x14ac:dyDescent="0.3">
      <c r="A101">
        <v>4</v>
      </c>
      <c r="B101" s="27">
        <v>45574</v>
      </c>
      <c r="C101" s="95">
        <v>319957.78000000003</v>
      </c>
      <c r="D101" s="29">
        <v>0</v>
      </c>
      <c r="E101" s="30">
        <f t="shared" si="18"/>
        <v>319957.78000000003</v>
      </c>
      <c r="F101" s="28">
        <v>30000</v>
      </c>
      <c r="G101" s="28">
        <f t="shared" si="19"/>
        <v>10.665259333333335</v>
      </c>
      <c r="H101" s="65">
        <f t="shared" si="20"/>
        <v>1.70642857137282E-3</v>
      </c>
      <c r="I101" s="72">
        <f t="shared" si="21"/>
        <v>6.6525933333333453E-2</v>
      </c>
      <c r="J101" s="95">
        <v>156.9</v>
      </c>
      <c r="K101" s="65">
        <f t="shared" si="22"/>
        <v>5.3181264817070417E-3</v>
      </c>
      <c r="L101" s="72">
        <f t="shared" si="23"/>
        <v>5.5996769417149039E-2</v>
      </c>
    </row>
    <row r="102" spans="1:12" ht="15.75" hidden="1" thickBot="1" x14ac:dyDescent="0.3">
      <c r="A102">
        <v>4</v>
      </c>
      <c r="B102" s="27">
        <v>45575</v>
      </c>
      <c r="C102" s="95">
        <v>319340.685</v>
      </c>
      <c r="D102" s="29">
        <v>0</v>
      </c>
      <c r="E102" s="30">
        <f t="shared" si="18"/>
        <v>319340.685</v>
      </c>
      <c r="F102" s="28">
        <v>30000</v>
      </c>
      <c r="G102" s="28">
        <f t="shared" si="19"/>
        <v>10.6446895</v>
      </c>
      <c r="H102" s="65">
        <f t="shared" si="20"/>
        <v>-1.9286763397347029E-3</v>
      </c>
      <c r="I102" s="72">
        <f t="shared" si="21"/>
        <v>6.4468949999999969E-2</v>
      </c>
      <c r="J102" s="95">
        <v>156.63999999999999</v>
      </c>
      <c r="K102" s="65">
        <f t="shared" si="22"/>
        <v>-1.6571064372212785E-3</v>
      </c>
      <c r="L102" s="72">
        <f t="shared" si="23"/>
        <v>5.424687037286291E-2</v>
      </c>
    </row>
    <row r="103" spans="1:12" ht="15.75" hidden="1" thickBot="1" x14ac:dyDescent="0.3">
      <c r="A103">
        <v>4</v>
      </c>
      <c r="B103" s="27">
        <v>45576</v>
      </c>
      <c r="C103" s="95">
        <v>320702.14</v>
      </c>
      <c r="D103" s="29">
        <v>0</v>
      </c>
      <c r="E103" s="30">
        <f t="shared" si="18"/>
        <v>320702.14</v>
      </c>
      <c r="F103" s="28">
        <v>30000</v>
      </c>
      <c r="G103" s="28">
        <f t="shared" si="19"/>
        <v>10.690071333333334</v>
      </c>
      <c r="H103" s="65">
        <f t="shared" si="20"/>
        <v>4.2633308687241023E-3</v>
      </c>
      <c r="I103" s="72">
        <f t="shared" si="21"/>
        <v>6.9007133333333304E-2</v>
      </c>
      <c r="J103" s="95">
        <v>157.54</v>
      </c>
      <c r="K103" s="65">
        <f t="shared" si="22"/>
        <v>5.7456588355464522E-3</v>
      </c>
      <c r="L103" s="72">
        <f t="shared" si="23"/>
        <v>6.0304213218468128E-2</v>
      </c>
    </row>
    <row r="104" spans="1:12" ht="15.75" hidden="1" thickBot="1" x14ac:dyDescent="0.3">
      <c r="A104">
        <v>4</v>
      </c>
      <c r="B104" s="27">
        <v>45577</v>
      </c>
      <c r="C104" s="95">
        <v>320702.14</v>
      </c>
      <c r="D104" s="29">
        <v>0</v>
      </c>
      <c r="E104" s="30">
        <f t="shared" si="18"/>
        <v>320702.14</v>
      </c>
      <c r="F104" s="28">
        <v>30000</v>
      </c>
      <c r="G104" s="28">
        <f t="shared" si="19"/>
        <v>10.690071333333334</v>
      </c>
      <c r="H104" s="65">
        <f t="shared" si="20"/>
        <v>0</v>
      </c>
      <c r="I104" s="72">
        <f t="shared" si="21"/>
        <v>6.9007133333333304E-2</v>
      </c>
      <c r="J104" s="95">
        <v>158.54</v>
      </c>
      <c r="K104" s="65">
        <f t="shared" si="22"/>
        <v>6.3475942617747805E-3</v>
      </c>
      <c r="L104" s="72">
        <f t="shared" si="23"/>
        <v>6.7034594158029259E-2</v>
      </c>
    </row>
    <row r="105" spans="1:12" ht="15.75" hidden="1" thickBot="1" x14ac:dyDescent="0.3">
      <c r="A105">
        <v>4</v>
      </c>
      <c r="B105" s="27">
        <v>45578</v>
      </c>
      <c r="C105" s="95">
        <v>320702.14</v>
      </c>
      <c r="D105" s="29">
        <v>0</v>
      </c>
      <c r="E105" s="30">
        <f t="shared" si="18"/>
        <v>320702.14</v>
      </c>
      <c r="F105" s="28">
        <v>30000</v>
      </c>
      <c r="G105" s="28">
        <f t="shared" si="19"/>
        <v>10.690071333333334</v>
      </c>
      <c r="H105" s="65">
        <f t="shared" si="20"/>
        <v>0</v>
      </c>
      <c r="I105" s="72">
        <f t="shared" si="21"/>
        <v>6.9007133333333304E-2</v>
      </c>
      <c r="J105" s="95">
        <v>159.54</v>
      </c>
      <c r="K105" s="65">
        <f t="shared" si="22"/>
        <v>6.3075564526302585E-3</v>
      </c>
      <c r="L105" s="72">
        <f t="shared" si="23"/>
        <v>7.3764975097590391E-2</v>
      </c>
    </row>
    <row r="106" spans="1:12" ht="15.75" hidden="1" thickBot="1" x14ac:dyDescent="0.3">
      <c r="A106">
        <v>4</v>
      </c>
      <c r="B106" s="27">
        <v>45579</v>
      </c>
      <c r="C106" s="95">
        <v>321930</v>
      </c>
      <c r="D106" s="29">
        <v>0</v>
      </c>
      <c r="E106" s="30">
        <f t="shared" si="18"/>
        <v>321930</v>
      </c>
      <c r="F106" s="28">
        <v>30000</v>
      </c>
      <c r="G106" s="28">
        <f t="shared" si="19"/>
        <v>10.731</v>
      </c>
      <c r="H106" s="65">
        <f t="shared" si="20"/>
        <v>3.8286616983596033E-3</v>
      </c>
      <c r="I106" s="72">
        <f t="shared" si="21"/>
        <v>7.3099999999999943E-2</v>
      </c>
      <c r="J106" s="95">
        <v>158.54</v>
      </c>
      <c r="K106" s="65">
        <f t="shared" si="22"/>
        <v>-6.2680205591074678E-3</v>
      </c>
      <c r="L106" s="72">
        <f t="shared" si="23"/>
        <v>6.7034594158029259E-2</v>
      </c>
    </row>
    <row r="107" spans="1:12" ht="15.75" hidden="1" thickBot="1" x14ac:dyDescent="0.3">
      <c r="A107">
        <v>4</v>
      </c>
      <c r="B107" s="27">
        <v>45580</v>
      </c>
      <c r="C107" s="95">
        <v>320831.01999999996</v>
      </c>
      <c r="D107" s="29">
        <v>0</v>
      </c>
      <c r="E107" s="30">
        <f t="shared" si="18"/>
        <v>320831.01999999996</v>
      </c>
      <c r="F107" s="28">
        <v>30000</v>
      </c>
      <c r="G107" s="28">
        <f t="shared" si="19"/>
        <v>10.694367333333332</v>
      </c>
      <c r="H107" s="65">
        <f t="shared" si="20"/>
        <v>-3.4137234802598115E-3</v>
      </c>
      <c r="I107" s="72">
        <f t="shared" si="21"/>
        <v>6.9436733333333223E-2</v>
      </c>
      <c r="J107" s="95">
        <v>156.97</v>
      </c>
      <c r="K107" s="65">
        <f t="shared" si="22"/>
        <v>-9.9028636306294215E-3</v>
      </c>
      <c r="L107" s="72">
        <f t="shared" si="23"/>
        <v>5.6467896082918134E-2</v>
      </c>
    </row>
    <row r="108" spans="1:12" ht="15.75" hidden="1" thickBot="1" x14ac:dyDescent="0.3">
      <c r="A108">
        <v>4</v>
      </c>
      <c r="B108" s="27">
        <v>45581</v>
      </c>
      <c r="C108" s="95">
        <v>321890.39999999997</v>
      </c>
      <c r="D108" s="29">
        <v>0</v>
      </c>
      <c r="E108" s="30">
        <f t="shared" si="18"/>
        <v>321890.39999999997</v>
      </c>
      <c r="F108" s="28">
        <v>30000</v>
      </c>
      <c r="G108" s="28">
        <f t="shared" si="19"/>
        <v>10.729679999999998</v>
      </c>
      <c r="H108" s="65">
        <f t="shared" si="20"/>
        <v>3.3019874449795594E-3</v>
      </c>
      <c r="I108" s="72">
        <f t="shared" si="21"/>
        <v>7.2967999999999922E-2</v>
      </c>
      <c r="J108" s="95">
        <v>157.61000000000001</v>
      </c>
      <c r="K108" s="65">
        <f t="shared" si="22"/>
        <v>4.0772122061540905E-3</v>
      </c>
      <c r="L108" s="72">
        <f t="shared" si="23"/>
        <v>6.0775339884237445E-2</v>
      </c>
    </row>
    <row r="109" spans="1:12" ht="15.75" hidden="1" thickBot="1" x14ac:dyDescent="0.3">
      <c r="A109">
        <v>4</v>
      </c>
      <c r="B109" s="27">
        <v>45582</v>
      </c>
      <c r="C109" s="95">
        <v>321536.68000000005</v>
      </c>
      <c r="D109" s="29">
        <v>0</v>
      </c>
      <c r="E109" s="30">
        <f t="shared" si="18"/>
        <v>321536.68000000005</v>
      </c>
      <c r="F109" s="28">
        <v>30000</v>
      </c>
      <c r="G109" s="28">
        <f t="shared" si="19"/>
        <v>10.717889333333336</v>
      </c>
      <c r="H109" s="65">
        <f t="shared" si="20"/>
        <v>-1.0988833466294423E-3</v>
      </c>
      <c r="I109" s="72">
        <f t="shared" si="21"/>
        <v>7.1788933333333471E-2</v>
      </c>
      <c r="J109" s="95">
        <v>157.43</v>
      </c>
      <c r="K109" s="65">
        <f t="shared" si="22"/>
        <v>-1.1420595139902678E-3</v>
      </c>
      <c r="L109" s="72">
        <f t="shared" si="23"/>
        <v>5.9563871315116312E-2</v>
      </c>
    </row>
    <row r="110" spans="1:12" ht="15.75" hidden="1" thickBot="1" x14ac:dyDescent="0.3">
      <c r="A110">
        <v>4</v>
      </c>
      <c r="B110" s="27">
        <v>45583</v>
      </c>
      <c r="C110" s="95">
        <v>322659.76999999996</v>
      </c>
      <c r="D110" s="29">
        <v>0</v>
      </c>
      <c r="E110" s="30">
        <f t="shared" si="18"/>
        <v>322659.76999999996</v>
      </c>
      <c r="F110" s="28">
        <v>30000</v>
      </c>
      <c r="G110" s="28">
        <f t="shared" si="19"/>
        <v>10.755325666666666</v>
      </c>
      <c r="H110" s="65">
        <f t="shared" si="20"/>
        <v>3.4928829892748592E-3</v>
      </c>
      <c r="I110" s="72">
        <f t="shared" si="21"/>
        <v>7.5532566666666634E-2</v>
      </c>
      <c r="J110" s="95">
        <v>158.4</v>
      </c>
      <c r="K110" s="65">
        <f t="shared" si="22"/>
        <v>6.1614685892141807E-3</v>
      </c>
      <c r="L110" s="72">
        <f t="shared" si="23"/>
        <v>6.6092340826490625E-2</v>
      </c>
    </row>
    <row r="111" spans="1:12" ht="15.75" hidden="1" thickBot="1" x14ac:dyDescent="0.3">
      <c r="A111">
        <v>4</v>
      </c>
      <c r="B111" s="27">
        <v>45584</v>
      </c>
      <c r="C111" s="95">
        <v>322659.76999999996</v>
      </c>
      <c r="D111" s="29">
        <v>0</v>
      </c>
      <c r="E111" s="30">
        <f t="shared" si="18"/>
        <v>322659.76999999996</v>
      </c>
      <c r="F111" s="28">
        <v>30000</v>
      </c>
      <c r="G111" s="28">
        <f t="shared" si="19"/>
        <v>10.755325666666666</v>
      </c>
      <c r="H111" s="65">
        <f t="shared" si="20"/>
        <v>0</v>
      </c>
      <c r="I111" s="72">
        <f t="shared" si="21"/>
        <v>7.5532566666666634E-2</v>
      </c>
      <c r="J111" s="95">
        <v>158.4</v>
      </c>
      <c r="K111" s="65">
        <f t="shared" si="22"/>
        <v>0</v>
      </c>
      <c r="L111" s="72">
        <f t="shared" si="23"/>
        <v>6.6092340826490625E-2</v>
      </c>
    </row>
    <row r="112" spans="1:12" ht="15.75" hidden="1" thickBot="1" x14ac:dyDescent="0.3">
      <c r="A112">
        <v>4</v>
      </c>
      <c r="B112" s="27">
        <v>45585</v>
      </c>
      <c r="C112" s="95">
        <v>322659.76999999996</v>
      </c>
      <c r="D112" s="29">
        <v>0</v>
      </c>
      <c r="E112" s="30">
        <f t="shared" si="18"/>
        <v>322659.76999999996</v>
      </c>
      <c r="F112" s="28">
        <v>30000</v>
      </c>
      <c r="G112" s="28">
        <f t="shared" si="19"/>
        <v>10.755325666666666</v>
      </c>
      <c r="H112" s="65">
        <f t="shared" si="20"/>
        <v>0</v>
      </c>
      <c r="I112" s="72">
        <f t="shared" si="21"/>
        <v>7.5532566666666634E-2</v>
      </c>
      <c r="J112" s="95">
        <v>158.4</v>
      </c>
      <c r="K112" s="65">
        <f t="shared" si="22"/>
        <v>0</v>
      </c>
      <c r="L112" s="72">
        <f t="shared" si="23"/>
        <v>6.6092340826490625E-2</v>
      </c>
    </row>
    <row r="113" spans="1:12" ht="15.75" hidden="1" thickBot="1" x14ac:dyDescent="0.3">
      <c r="A113">
        <v>4</v>
      </c>
      <c r="B113" s="27">
        <v>45586</v>
      </c>
      <c r="C113" s="95">
        <v>322659.76999999996</v>
      </c>
      <c r="D113" s="29">
        <v>0</v>
      </c>
      <c r="E113" s="30">
        <f t="shared" si="18"/>
        <v>322659.76999999996</v>
      </c>
      <c r="F113" s="28">
        <v>30000</v>
      </c>
      <c r="G113" s="28">
        <f t="shared" si="19"/>
        <v>10.755325666666666</v>
      </c>
      <c r="H113" s="65">
        <f t="shared" si="20"/>
        <v>0</v>
      </c>
      <c r="I113" s="72">
        <f t="shared" si="21"/>
        <v>7.5532566666666634E-2</v>
      </c>
      <c r="J113" s="95">
        <v>157.71</v>
      </c>
      <c r="K113" s="65">
        <f t="shared" si="22"/>
        <v>-4.356060606060641E-3</v>
      </c>
      <c r="L113" s="72">
        <f t="shared" si="23"/>
        <v>6.144837797819358E-2</v>
      </c>
    </row>
    <row r="114" spans="1:12" ht="15.75" hidden="1" thickBot="1" x14ac:dyDescent="0.3">
      <c r="A114">
        <v>4</v>
      </c>
      <c r="B114" s="27">
        <v>45587</v>
      </c>
      <c r="C114" s="95">
        <v>319304.71999999997</v>
      </c>
      <c r="D114" s="29">
        <v>0</v>
      </c>
      <c r="E114" s="30">
        <f t="shared" si="18"/>
        <v>319304.71999999997</v>
      </c>
      <c r="F114" s="28">
        <v>30000</v>
      </c>
      <c r="G114" s="28">
        <f t="shared" si="19"/>
        <v>10.643490666666665</v>
      </c>
      <c r="H114" s="65">
        <f t="shared" si="20"/>
        <v>-1.0398104480146442E-2</v>
      </c>
      <c r="I114" s="72">
        <f t="shared" si="21"/>
        <v>6.4349066666666399E-2</v>
      </c>
      <c r="J114" s="95">
        <v>157.46</v>
      </c>
      <c r="K114" s="65">
        <f t="shared" si="22"/>
        <v>-1.585188003297211E-3</v>
      </c>
      <c r="L114" s="72">
        <f t="shared" si="23"/>
        <v>5.9765782743303131E-2</v>
      </c>
    </row>
    <row r="115" spans="1:12" ht="15.75" hidden="1" thickBot="1" x14ac:dyDescent="0.3">
      <c r="A115">
        <v>4</v>
      </c>
      <c r="B115" s="27">
        <v>45588</v>
      </c>
      <c r="C115" s="95">
        <v>317757.53000000003</v>
      </c>
      <c r="D115" s="29">
        <v>0</v>
      </c>
      <c r="E115" s="30">
        <f t="shared" si="18"/>
        <v>317757.53000000003</v>
      </c>
      <c r="F115" s="28">
        <v>30000</v>
      </c>
      <c r="G115" s="28">
        <f t="shared" si="19"/>
        <v>10.591917666666667</v>
      </c>
      <c r="H115" s="65">
        <f t="shared" si="20"/>
        <v>-4.845496803178917E-3</v>
      </c>
      <c r="I115" s="72">
        <f t="shared" si="21"/>
        <v>5.9191766666666812E-2</v>
      </c>
      <c r="J115" s="95">
        <v>155.08000000000001</v>
      </c>
      <c r="K115" s="65">
        <f t="shared" si="22"/>
        <v>-1.5114949828527902E-2</v>
      </c>
      <c r="L115" s="72">
        <f t="shared" si="23"/>
        <v>4.3747476107147687E-2</v>
      </c>
    </row>
    <row r="116" spans="1:12" ht="15.75" hidden="1" thickBot="1" x14ac:dyDescent="0.3">
      <c r="A116">
        <v>4</v>
      </c>
      <c r="B116" s="27">
        <v>45589</v>
      </c>
      <c r="C116" s="95">
        <v>318600.40999999997</v>
      </c>
      <c r="D116" s="29">
        <v>0</v>
      </c>
      <c r="E116" s="30">
        <f t="shared" si="18"/>
        <v>318600.40999999997</v>
      </c>
      <c r="F116" s="28">
        <v>30000</v>
      </c>
      <c r="G116" s="28">
        <f t="shared" si="19"/>
        <v>10.620013666666665</v>
      </c>
      <c r="H116" s="65">
        <f t="shared" si="20"/>
        <v>2.6525885948318617E-3</v>
      </c>
      <c r="I116" s="72">
        <f t="shared" si="21"/>
        <v>6.2001366666666557E-2</v>
      </c>
      <c r="J116" s="95">
        <v>156.4</v>
      </c>
      <c r="K116" s="65">
        <f t="shared" si="22"/>
        <v>8.5117358782562658E-3</v>
      </c>
      <c r="L116" s="72">
        <f t="shared" si="23"/>
        <v>5.2631578947368363E-2</v>
      </c>
    </row>
    <row r="117" spans="1:12" ht="15.75" hidden="1" thickBot="1" x14ac:dyDescent="0.3">
      <c r="A117">
        <v>4</v>
      </c>
      <c r="B117" s="27">
        <v>45590</v>
      </c>
      <c r="C117" s="95">
        <v>318067.99</v>
      </c>
      <c r="D117" s="29">
        <v>0</v>
      </c>
      <c r="E117" s="30">
        <f t="shared" si="18"/>
        <v>318067.99</v>
      </c>
      <c r="F117" s="28">
        <v>30000</v>
      </c>
      <c r="G117" s="28">
        <f t="shared" si="19"/>
        <v>10.602266333333333</v>
      </c>
      <c r="H117" s="65">
        <f t="shared" si="20"/>
        <v>-1.6711215155058579E-3</v>
      </c>
      <c r="I117" s="72">
        <f t="shared" si="21"/>
        <v>6.0226633333333224E-2</v>
      </c>
      <c r="J117" s="95">
        <v>156.15</v>
      </c>
      <c r="K117" s="65">
        <f t="shared" si="22"/>
        <v>-1.5984654731457937E-3</v>
      </c>
      <c r="L117" s="72">
        <f t="shared" si="23"/>
        <v>5.0948983712478135E-2</v>
      </c>
    </row>
    <row r="118" spans="1:12" ht="15.75" hidden="1" thickBot="1" x14ac:dyDescent="0.3">
      <c r="A118">
        <v>4</v>
      </c>
      <c r="B118" s="27">
        <v>45591</v>
      </c>
      <c r="C118" s="95">
        <v>318067.99</v>
      </c>
      <c r="D118" s="29">
        <v>0</v>
      </c>
      <c r="E118" s="30">
        <f t="shared" si="18"/>
        <v>318067.99</v>
      </c>
      <c r="F118" s="28">
        <v>30000</v>
      </c>
      <c r="G118" s="28">
        <f t="shared" si="19"/>
        <v>10.602266333333333</v>
      </c>
      <c r="H118" s="65">
        <f t="shared" si="20"/>
        <v>0</v>
      </c>
      <c r="I118" s="72">
        <f t="shared" si="21"/>
        <v>6.0226633333333224E-2</v>
      </c>
      <c r="J118" s="95">
        <v>156.15</v>
      </c>
      <c r="K118" s="65">
        <f t="shared" si="22"/>
        <v>0</v>
      </c>
      <c r="L118" s="72">
        <f t="shared" si="23"/>
        <v>5.0948983712478135E-2</v>
      </c>
    </row>
    <row r="119" spans="1:12" ht="15.75" hidden="1" thickBot="1" x14ac:dyDescent="0.3">
      <c r="A119">
        <v>4</v>
      </c>
      <c r="B119" s="27">
        <v>45592</v>
      </c>
      <c r="C119" s="95">
        <v>318067.99</v>
      </c>
      <c r="D119" s="29">
        <v>0</v>
      </c>
      <c r="E119" s="30">
        <f t="shared" si="18"/>
        <v>318067.99</v>
      </c>
      <c r="F119" s="28">
        <v>30000</v>
      </c>
      <c r="G119" s="28">
        <f t="shared" si="19"/>
        <v>10.602266333333333</v>
      </c>
      <c r="H119" s="65">
        <f t="shared" si="20"/>
        <v>0</v>
      </c>
      <c r="I119" s="72">
        <f t="shared" si="21"/>
        <v>6.0226633333333224E-2</v>
      </c>
      <c r="J119" s="95">
        <v>156.15</v>
      </c>
      <c r="K119" s="65">
        <f t="shared" si="22"/>
        <v>0</v>
      </c>
      <c r="L119" s="72">
        <f t="shared" si="23"/>
        <v>5.0948983712478135E-2</v>
      </c>
    </row>
    <row r="120" spans="1:12" ht="15.75" hidden="1" thickBot="1" x14ac:dyDescent="0.3">
      <c r="A120">
        <v>4</v>
      </c>
      <c r="B120" s="27">
        <v>45593</v>
      </c>
      <c r="C120" s="95">
        <v>318622.26500000001</v>
      </c>
      <c r="D120" s="29">
        <v>0</v>
      </c>
      <c r="E120" s="30">
        <f t="shared" si="18"/>
        <v>318622.26500000001</v>
      </c>
      <c r="F120" s="28">
        <v>30000</v>
      </c>
      <c r="G120" s="28">
        <f t="shared" si="19"/>
        <v>10.620742166666668</v>
      </c>
      <c r="H120" s="65">
        <f t="shared" si="20"/>
        <v>1.7426305614722803E-3</v>
      </c>
      <c r="I120" s="72">
        <f t="shared" si="21"/>
        <v>6.2074216666666793E-2</v>
      </c>
      <c r="J120" s="95">
        <v>156.84</v>
      </c>
      <c r="K120" s="65">
        <f t="shared" si="22"/>
        <v>4.4188280499519728E-3</v>
      </c>
      <c r="L120" s="72">
        <f t="shared" si="23"/>
        <v>5.559294656077518E-2</v>
      </c>
    </row>
    <row r="121" spans="1:12" ht="15.75" hidden="1" thickBot="1" x14ac:dyDescent="0.3">
      <c r="A121">
        <v>4</v>
      </c>
      <c r="B121" s="27">
        <v>45594</v>
      </c>
      <c r="C121">
        <v>319704.495</v>
      </c>
      <c r="D121" s="29">
        <v>0</v>
      </c>
      <c r="E121" s="30">
        <f t="shared" si="18"/>
        <v>319704.495</v>
      </c>
      <c r="F121" s="28">
        <v>30000</v>
      </c>
      <c r="G121" s="28">
        <f t="shared" si="19"/>
        <v>10.6568165</v>
      </c>
      <c r="H121" s="65">
        <f t="shared" si="20"/>
        <v>3.3965925137089403E-3</v>
      </c>
      <c r="I121" s="72">
        <f t="shared" si="21"/>
        <v>6.5681649999999925E-2</v>
      </c>
      <c r="J121" s="95">
        <v>156.84</v>
      </c>
      <c r="K121" s="65">
        <f t="shared" si="22"/>
        <v>0</v>
      </c>
      <c r="L121" s="72">
        <f t="shared" si="23"/>
        <v>5.559294656077518E-2</v>
      </c>
    </row>
    <row r="122" spans="1:12" ht="15.75" hidden="1" thickBot="1" x14ac:dyDescent="0.3">
      <c r="A122">
        <v>4</v>
      </c>
      <c r="B122" s="27">
        <v>45595</v>
      </c>
      <c r="C122" s="95">
        <v>319323.36999999994</v>
      </c>
      <c r="D122" s="29">
        <v>0</v>
      </c>
      <c r="E122" s="30">
        <f t="shared" si="18"/>
        <v>319323.36999999994</v>
      </c>
      <c r="F122" s="28">
        <v>30000</v>
      </c>
      <c r="G122" s="28">
        <f t="shared" si="19"/>
        <v>10.644112333333331</v>
      </c>
      <c r="H122" s="65">
        <f t="shared" si="20"/>
        <v>-1.1921164886971036E-3</v>
      </c>
      <c r="I122" s="72">
        <f t="shared" si="21"/>
        <v>6.4411233333333096E-2</v>
      </c>
      <c r="J122" s="95">
        <v>156.27000000000001</v>
      </c>
      <c r="K122" s="65">
        <f t="shared" si="22"/>
        <v>-3.6342769701606104E-3</v>
      </c>
      <c r="L122" s="72">
        <f t="shared" si="23"/>
        <v>5.1756629425225409E-2</v>
      </c>
    </row>
    <row r="123" spans="1:12" ht="15.75" hidden="1" thickBot="1" x14ac:dyDescent="0.3">
      <c r="A123">
        <v>4</v>
      </c>
      <c r="B123" s="27">
        <v>45596</v>
      </c>
      <c r="C123" s="95">
        <v>316118.14000000007</v>
      </c>
      <c r="D123" s="29">
        <v>0</v>
      </c>
      <c r="E123" s="30">
        <f t="shared" si="18"/>
        <v>316118.14000000007</v>
      </c>
      <c r="F123" s="28">
        <v>30000</v>
      </c>
      <c r="G123" s="28">
        <f t="shared" si="19"/>
        <v>10.537271333333337</v>
      </c>
      <c r="H123" s="65">
        <f t="shared" si="20"/>
        <v>-1.0037567873594111E-2</v>
      </c>
      <c r="I123" s="72">
        <f t="shared" si="21"/>
        <v>5.3727133333333565E-2</v>
      </c>
      <c r="J123" s="95">
        <v>153.72999999999999</v>
      </c>
      <c r="K123" s="65">
        <f t="shared" si="22"/>
        <v>-1.6253919498304348E-2</v>
      </c>
      <c r="L123" s="72">
        <f t="shared" si="23"/>
        <v>3.4661461838739971E-2</v>
      </c>
    </row>
    <row r="124" spans="1:12" ht="15.75" hidden="1" thickBot="1" x14ac:dyDescent="0.3">
      <c r="A124">
        <v>4</v>
      </c>
      <c r="B124" s="27">
        <v>45597</v>
      </c>
      <c r="C124" s="95">
        <v>317267.39500000002</v>
      </c>
      <c r="D124" s="29">
        <v>0</v>
      </c>
      <c r="E124" s="30">
        <f t="shared" si="18"/>
        <v>317267.39500000002</v>
      </c>
      <c r="F124" s="28">
        <v>30000</v>
      </c>
      <c r="G124" s="28">
        <f t="shared" si="19"/>
        <v>10.575579833333334</v>
      </c>
      <c r="H124" s="65">
        <f t="shared" si="20"/>
        <v>3.635523731728707E-3</v>
      </c>
      <c r="I124" s="72">
        <f t="shared" si="21"/>
        <v>5.7557983333333507E-2</v>
      </c>
      <c r="J124" s="95">
        <v>154.35</v>
      </c>
      <c r="K124" s="65">
        <f t="shared" si="22"/>
        <v>4.0330449489365261E-3</v>
      </c>
      <c r="L124" s="72">
        <f t="shared" si="23"/>
        <v>3.8834298021267921E-2</v>
      </c>
    </row>
    <row r="125" spans="1:12" ht="15.75" hidden="1" thickBot="1" x14ac:dyDescent="0.3">
      <c r="A125">
        <v>4</v>
      </c>
      <c r="B125" s="27">
        <v>45598</v>
      </c>
      <c r="C125" s="95">
        <v>317267.39500000002</v>
      </c>
      <c r="D125" s="29">
        <v>0</v>
      </c>
      <c r="E125" s="30">
        <f t="shared" si="18"/>
        <v>317267.39500000002</v>
      </c>
      <c r="F125" s="28">
        <v>30000</v>
      </c>
      <c r="G125" s="28">
        <f t="shared" si="19"/>
        <v>10.575579833333334</v>
      </c>
      <c r="H125" s="65">
        <f t="shared" si="20"/>
        <v>0</v>
      </c>
      <c r="I125" s="72">
        <f t="shared" si="21"/>
        <v>5.7557983333333507E-2</v>
      </c>
      <c r="J125" s="95">
        <v>154.35</v>
      </c>
      <c r="K125" s="65">
        <f t="shared" si="22"/>
        <v>0</v>
      </c>
      <c r="L125" s="72">
        <f t="shared" si="23"/>
        <v>3.8834298021267921E-2</v>
      </c>
    </row>
    <row r="126" spans="1:12" ht="15.75" hidden="1" thickBot="1" x14ac:dyDescent="0.3">
      <c r="A126">
        <v>4</v>
      </c>
      <c r="B126" s="27">
        <v>45599</v>
      </c>
      <c r="C126" s="95">
        <v>317267.39500000002</v>
      </c>
      <c r="D126" s="29">
        <v>0</v>
      </c>
      <c r="E126" s="30">
        <f t="shared" si="18"/>
        <v>317267.39500000002</v>
      </c>
      <c r="F126" s="28">
        <v>30000</v>
      </c>
      <c r="G126" s="28">
        <f t="shared" si="19"/>
        <v>10.575579833333334</v>
      </c>
      <c r="H126" s="65">
        <f t="shared" si="20"/>
        <v>0</v>
      </c>
      <c r="I126" s="72">
        <f t="shared" si="21"/>
        <v>5.7557983333333507E-2</v>
      </c>
      <c r="J126" s="95">
        <v>154.35</v>
      </c>
      <c r="K126" s="65">
        <f t="shared" si="22"/>
        <v>0</v>
      </c>
      <c r="L126" s="72">
        <f t="shared" si="23"/>
        <v>3.8834298021267921E-2</v>
      </c>
    </row>
    <row r="127" spans="1:12" ht="15.75" hidden="1" thickBot="1" x14ac:dyDescent="0.3">
      <c r="A127">
        <v>4</v>
      </c>
      <c r="B127" s="27">
        <v>45600</v>
      </c>
      <c r="C127" s="95">
        <v>317121.23499999999</v>
      </c>
      <c r="D127" s="29">
        <v>0</v>
      </c>
      <c r="E127" s="30">
        <f t="shared" si="18"/>
        <v>317121.23499999999</v>
      </c>
      <c r="F127" s="28">
        <v>30000</v>
      </c>
      <c r="G127" s="28">
        <f t="shared" si="19"/>
        <v>10.570707833333334</v>
      </c>
      <c r="H127" s="65">
        <f t="shared" si="20"/>
        <v>-4.6068396029164127E-4</v>
      </c>
      <c r="I127" s="72">
        <f t="shared" si="21"/>
        <v>5.7070783333333264E-2</v>
      </c>
      <c r="J127" s="95">
        <v>154.13999999999999</v>
      </c>
      <c r="K127" s="65">
        <f t="shared" si="22"/>
        <v>-1.3605442176871652E-3</v>
      </c>
      <c r="L127" s="72">
        <f t="shared" si="23"/>
        <v>3.742091802395997E-2</v>
      </c>
    </row>
    <row r="128" spans="1:12" ht="15.75" hidden="1" thickBot="1" x14ac:dyDescent="0.3">
      <c r="A128">
        <v>4</v>
      </c>
      <c r="B128" s="27">
        <v>45601</v>
      </c>
      <c r="C128" s="95">
        <v>320240.51500000001</v>
      </c>
      <c r="D128" s="29">
        <v>0</v>
      </c>
      <c r="E128" s="30">
        <f t="shared" si="18"/>
        <v>320240.51500000001</v>
      </c>
      <c r="F128" s="28">
        <v>30000</v>
      </c>
      <c r="G128" s="28">
        <f t="shared" si="19"/>
        <v>10.674683833333333</v>
      </c>
      <c r="H128" s="65">
        <f t="shared" si="20"/>
        <v>9.8362381819052658E-3</v>
      </c>
      <c r="I128" s="72">
        <f t="shared" si="21"/>
        <v>6.7468383333333382E-2</v>
      </c>
      <c r="J128" s="95">
        <v>155.94</v>
      </c>
      <c r="K128" s="65">
        <f t="shared" si="22"/>
        <v>1.1677695601401306E-2</v>
      </c>
      <c r="L128" s="72">
        <f t="shared" si="23"/>
        <v>4.9535603715170184E-2</v>
      </c>
    </row>
    <row r="129" spans="1:14" ht="15.75" hidden="1" thickBot="1" x14ac:dyDescent="0.3">
      <c r="A129">
        <v>4</v>
      </c>
      <c r="B129" s="27">
        <v>45602</v>
      </c>
      <c r="C129" s="95">
        <v>326005.83500000002</v>
      </c>
      <c r="D129" s="29">
        <v>0</v>
      </c>
      <c r="E129" s="30">
        <f t="shared" si="18"/>
        <v>326005.83500000002</v>
      </c>
      <c r="F129" s="28">
        <v>30000</v>
      </c>
      <c r="G129" s="28">
        <f t="shared" si="19"/>
        <v>10.866861166666668</v>
      </c>
      <c r="H129" s="65">
        <f t="shared" si="20"/>
        <v>1.8003093705991846E-2</v>
      </c>
      <c r="I129" s="72">
        <f t="shared" si="21"/>
        <v>8.6686116666666813E-2</v>
      </c>
      <c r="J129" s="95">
        <v>158.36000000000001</v>
      </c>
      <c r="K129" s="65">
        <f t="shared" si="22"/>
        <v>1.5518789277927603E-2</v>
      </c>
      <c r="L129" s="72">
        <f t="shared" si="23"/>
        <v>6.5823125588908349E-2</v>
      </c>
    </row>
    <row r="130" spans="1:14" ht="15.75" hidden="1" thickBot="1" x14ac:dyDescent="0.3">
      <c r="A130">
        <v>4</v>
      </c>
      <c r="B130" s="27">
        <v>45603</v>
      </c>
      <c r="C130" s="95">
        <v>327627.34499999997</v>
      </c>
      <c r="D130" s="29">
        <v>0</v>
      </c>
      <c r="E130" s="30">
        <f t="shared" ref="E130:E161" si="24">C130-D130</f>
        <v>327627.34499999997</v>
      </c>
      <c r="F130" s="28">
        <v>30000</v>
      </c>
      <c r="G130" s="28">
        <f t="shared" ref="G130:G161" si="25">E130/F130</f>
        <v>10.920911499999999</v>
      </c>
      <c r="H130" s="65">
        <f t="shared" si="20"/>
        <v>4.97386802907962E-3</v>
      </c>
      <c r="I130" s="72">
        <f t="shared" si="21"/>
        <v>9.2091149999999899E-2</v>
      </c>
      <c r="J130" s="95">
        <v>159.91</v>
      </c>
      <c r="K130" s="65">
        <f t="shared" si="22"/>
        <v>9.7878252083858364E-3</v>
      </c>
      <c r="L130" s="72">
        <f t="shared" si="23"/>
        <v>7.6255216045228114E-2</v>
      </c>
      <c r="M130" s="184"/>
      <c r="N130" s="184"/>
    </row>
    <row r="131" spans="1:14" ht="15.75" hidden="1" thickBot="1" x14ac:dyDescent="0.3">
      <c r="A131">
        <v>4</v>
      </c>
      <c r="B131" s="27">
        <v>45604</v>
      </c>
      <c r="C131" s="95">
        <v>328241.27499999997</v>
      </c>
      <c r="D131" s="29">
        <v>0</v>
      </c>
      <c r="E131" s="30">
        <f t="shared" si="24"/>
        <v>328241.27499999997</v>
      </c>
      <c r="F131" s="28">
        <v>30000</v>
      </c>
      <c r="G131" s="28">
        <f t="shared" si="25"/>
        <v>10.941375833333332</v>
      </c>
      <c r="H131" s="65">
        <f t="shared" ref="H131:H162" si="26">G131/G130 -1</f>
        <v>1.8738667860582758E-3</v>
      </c>
      <c r="I131" s="72">
        <f t="shared" ref="I131:I162" si="27">G131/$G$2-1</f>
        <v>9.4137583333333108E-2</v>
      </c>
      <c r="J131" s="95">
        <v>159.88</v>
      </c>
      <c r="K131" s="65">
        <f t="shared" ref="K131:K162" si="28">J131/J130 -1</f>
        <v>-1.8760552810959119E-4</v>
      </c>
      <c r="L131" s="72">
        <f t="shared" ref="L131:L162" si="29">J131/$J$2-1</f>
        <v>7.6053304617041295E-2</v>
      </c>
    </row>
    <row r="132" spans="1:14" ht="15.75" hidden="1" thickBot="1" x14ac:dyDescent="0.3">
      <c r="A132">
        <v>4</v>
      </c>
      <c r="B132" s="27">
        <v>45605</v>
      </c>
      <c r="C132" s="95">
        <v>328241.27499999997</v>
      </c>
      <c r="D132" s="29">
        <v>0</v>
      </c>
      <c r="E132" s="30">
        <f t="shared" si="24"/>
        <v>328241.27499999997</v>
      </c>
      <c r="F132" s="28">
        <v>30000</v>
      </c>
      <c r="G132" s="28">
        <f t="shared" si="25"/>
        <v>10.941375833333332</v>
      </c>
      <c r="H132" s="65">
        <f t="shared" si="26"/>
        <v>0</v>
      </c>
      <c r="I132" s="72">
        <f t="shared" si="27"/>
        <v>9.4137583333333108E-2</v>
      </c>
      <c r="J132" s="95">
        <v>159.88</v>
      </c>
      <c r="K132" s="65">
        <f t="shared" si="28"/>
        <v>0</v>
      </c>
      <c r="L132" s="72">
        <f t="shared" si="29"/>
        <v>7.6053304617041295E-2</v>
      </c>
    </row>
    <row r="133" spans="1:14" ht="15.75" hidden="1" thickBot="1" x14ac:dyDescent="0.3">
      <c r="A133">
        <v>4</v>
      </c>
      <c r="B133" s="27">
        <v>45606</v>
      </c>
      <c r="C133" s="95">
        <v>328241.27499999997</v>
      </c>
      <c r="D133" s="29">
        <v>0</v>
      </c>
      <c r="E133" s="30">
        <f t="shared" si="24"/>
        <v>328241.27499999997</v>
      </c>
      <c r="F133" s="28">
        <v>30000</v>
      </c>
      <c r="G133" s="28">
        <f t="shared" si="25"/>
        <v>10.941375833333332</v>
      </c>
      <c r="H133" s="65">
        <f t="shared" si="26"/>
        <v>0</v>
      </c>
      <c r="I133" s="72">
        <f t="shared" si="27"/>
        <v>9.4137583333333108E-2</v>
      </c>
      <c r="J133" s="95">
        <v>159.88</v>
      </c>
      <c r="K133" s="65">
        <f t="shared" si="28"/>
        <v>0</v>
      </c>
      <c r="L133" s="72">
        <f t="shared" si="29"/>
        <v>7.6053304617041295E-2</v>
      </c>
    </row>
    <row r="134" spans="1:14" ht="15.75" hidden="1" thickBot="1" x14ac:dyDescent="0.3">
      <c r="A134">
        <v>4</v>
      </c>
      <c r="B134" s="27">
        <v>45607</v>
      </c>
      <c r="C134" s="95">
        <v>329217.78500000003</v>
      </c>
      <c r="D134" s="29">
        <v>0</v>
      </c>
      <c r="E134" s="30">
        <f t="shared" si="24"/>
        <v>329217.78500000003</v>
      </c>
      <c r="F134" s="28">
        <v>30000</v>
      </c>
      <c r="G134" s="28">
        <f t="shared" si="25"/>
        <v>10.973926166666669</v>
      </c>
      <c r="H134" s="65">
        <f t="shared" si="26"/>
        <v>2.9749762579374117E-3</v>
      </c>
      <c r="I134" s="72">
        <f t="shared" si="27"/>
        <v>9.7392616666666765E-2</v>
      </c>
      <c r="J134" s="95">
        <v>160.25</v>
      </c>
      <c r="K134" s="65">
        <f t="shared" si="28"/>
        <v>2.3142356767575922E-3</v>
      </c>
      <c r="L134" s="72">
        <f t="shared" si="29"/>
        <v>7.8543545564678796E-2</v>
      </c>
    </row>
    <row r="135" spans="1:14" ht="15.75" hidden="1" thickBot="1" x14ac:dyDescent="0.3">
      <c r="A135">
        <v>4</v>
      </c>
      <c r="B135" s="27">
        <v>45608</v>
      </c>
      <c r="C135" s="95">
        <v>326315.21000000002</v>
      </c>
      <c r="D135" s="29">
        <v>0</v>
      </c>
      <c r="E135" s="30">
        <f t="shared" si="24"/>
        <v>326315.21000000002</v>
      </c>
      <c r="F135" s="28">
        <v>30000</v>
      </c>
      <c r="G135" s="28">
        <f t="shared" si="25"/>
        <v>10.877173666666668</v>
      </c>
      <c r="H135" s="65">
        <f t="shared" si="26"/>
        <v>-8.816580185666556E-3</v>
      </c>
      <c r="I135" s="72">
        <f t="shared" si="27"/>
        <v>8.7717366666666852E-2</v>
      </c>
      <c r="J135" s="95">
        <v>159.18</v>
      </c>
      <c r="K135" s="65">
        <f t="shared" si="28"/>
        <v>-6.6770670826832301E-3</v>
      </c>
      <c r="L135" s="72">
        <f t="shared" si="29"/>
        <v>7.1342037959348348E-2</v>
      </c>
    </row>
    <row r="136" spans="1:14" ht="15.75" hidden="1" thickBot="1" x14ac:dyDescent="0.3">
      <c r="A136">
        <v>4</v>
      </c>
      <c r="B136" s="27">
        <v>45609</v>
      </c>
      <c r="C136" s="95">
        <v>326610.42499999999</v>
      </c>
      <c r="D136" s="29">
        <v>0</v>
      </c>
      <c r="E136" s="30">
        <f t="shared" si="24"/>
        <v>326610.42499999999</v>
      </c>
      <c r="F136" s="28">
        <v>30000</v>
      </c>
      <c r="G136" s="28">
        <f t="shared" si="25"/>
        <v>10.887014166666667</v>
      </c>
      <c r="H136" s="65">
        <f t="shared" si="26"/>
        <v>9.0469273559135033E-4</v>
      </c>
      <c r="I136" s="72">
        <f t="shared" si="27"/>
        <v>8.8701416666666644E-2</v>
      </c>
      <c r="J136" s="95">
        <v>158.97</v>
      </c>
      <c r="K136" s="65">
        <f t="shared" si="28"/>
        <v>-1.3192612137203907E-3</v>
      </c>
      <c r="L136" s="72">
        <f t="shared" si="29"/>
        <v>6.9928657962040619E-2</v>
      </c>
    </row>
    <row r="137" spans="1:14" ht="15.75" hidden="1" thickBot="1" x14ac:dyDescent="0.3">
      <c r="A137">
        <v>4</v>
      </c>
      <c r="B137" s="27">
        <v>45610</v>
      </c>
      <c r="C137" s="95">
        <v>324973.90999999997</v>
      </c>
      <c r="D137" s="29">
        <v>0</v>
      </c>
      <c r="E137" s="30">
        <f t="shared" si="24"/>
        <v>324973.90999999997</v>
      </c>
      <c r="F137" s="28">
        <v>30000</v>
      </c>
      <c r="G137" s="28">
        <f t="shared" si="25"/>
        <v>10.832463666666666</v>
      </c>
      <c r="H137" s="65">
        <f t="shared" si="26"/>
        <v>-5.0106024631639823E-3</v>
      </c>
      <c r="I137" s="72">
        <f t="shared" si="27"/>
        <v>8.3246366666666516E-2</v>
      </c>
      <c r="J137" s="95">
        <v>158.31</v>
      </c>
      <c r="K137" s="65">
        <f t="shared" si="28"/>
        <v>-4.1517267408944791E-3</v>
      </c>
      <c r="L137" s="72">
        <f t="shared" si="29"/>
        <v>6.548660654193017E-2</v>
      </c>
    </row>
    <row r="138" spans="1:14" ht="15.75" hidden="1" thickBot="1" x14ac:dyDescent="0.3">
      <c r="A138">
        <v>4</v>
      </c>
      <c r="B138" s="27">
        <v>45611</v>
      </c>
      <c r="C138" s="95">
        <v>321824.47000000003</v>
      </c>
      <c r="D138" s="29">
        <v>0</v>
      </c>
      <c r="E138" s="30">
        <f t="shared" si="24"/>
        <v>321824.47000000003</v>
      </c>
      <c r="F138" s="28">
        <v>30000</v>
      </c>
      <c r="G138" s="28">
        <f t="shared" si="25"/>
        <v>10.727482333333334</v>
      </c>
      <c r="H138" s="65">
        <f t="shared" si="26"/>
        <v>-9.691362608155063E-3</v>
      </c>
      <c r="I138" s="72">
        <f t="shared" si="27"/>
        <v>7.2748233333333356E-2</v>
      </c>
      <c r="J138" s="95">
        <v>156.66</v>
      </c>
      <c r="K138" s="65">
        <f t="shared" si="28"/>
        <v>-1.0422588592003068E-2</v>
      </c>
      <c r="L138" s="72">
        <f t="shared" si="29"/>
        <v>5.438147799165427E-2</v>
      </c>
    </row>
    <row r="139" spans="1:14" ht="15.75" hidden="1" thickBot="1" x14ac:dyDescent="0.3">
      <c r="A139">
        <v>4</v>
      </c>
      <c r="B139" s="27">
        <v>45612</v>
      </c>
      <c r="C139" s="95">
        <v>321824.47000000003</v>
      </c>
      <c r="D139" s="29">
        <v>0</v>
      </c>
      <c r="E139" s="30">
        <f t="shared" si="24"/>
        <v>321824.47000000003</v>
      </c>
      <c r="F139" s="28">
        <v>30000</v>
      </c>
      <c r="G139" s="28">
        <f t="shared" si="25"/>
        <v>10.727482333333334</v>
      </c>
      <c r="H139" s="65">
        <f t="shared" si="26"/>
        <v>0</v>
      </c>
      <c r="I139" s="72">
        <f t="shared" si="27"/>
        <v>7.2748233333333356E-2</v>
      </c>
      <c r="J139" s="95">
        <v>156.66</v>
      </c>
      <c r="K139" s="65">
        <f t="shared" si="28"/>
        <v>0</v>
      </c>
      <c r="L139" s="72">
        <f t="shared" si="29"/>
        <v>5.438147799165427E-2</v>
      </c>
    </row>
    <row r="140" spans="1:14" ht="15.75" hidden="1" thickBot="1" x14ac:dyDescent="0.3">
      <c r="A140">
        <v>4</v>
      </c>
      <c r="B140" s="27">
        <v>45613</v>
      </c>
      <c r="C140" s="95">
        <v>321824.47000000003</v>
      </c>
      <c r="D140" s="29">
        <v>0</v>
      </c>
      <c r="E140" s="30">
        <f t="shared" si="24"/>
        <v>321824.47000000003</v>
      </c>
      <c r="F140" s="28">
        <v>30000</v>
      </c>
      <c r="G140" s="28">
        <f t="shared" si="25"/>
        <v>10.727482333333334</v>
      </c>
      <c r="H140" s="65">
        <f t="shared" si="26"/>
        <v>0</v>
      </c>
      <c r="I140" s="72">
        <f t="shared" si="27"/>
        <v>7.2748233333333356E-2</v>
      </c>
      <c r="J140" s="95">
        <v>156.66</v>
      </c>
      <c r="K140" s="65">
        <f t="shared" si="28"/>
        <v>0</v>
      </c>
      <c r="L140" s="72">
        <f t="shared" si="29"/>
        <v>5.438147799165427E-2</v>
      </c>
    </row>
    <row r="141" spans="1:14" ht="15.75" hidden="1" thickBot="1" x14ac:dyDescent="0.3">
      <c r="A141">
        <v>4</v>
      </c>
      <c r="B141" s="27">
        <v>45614</v>
      </c>
      <c r="C141" s="95">
        <v>322787.42</v>
      </c>
      <c r="D141" s="29">
        <v>0</v>
      </c>
      <c r="E141" s="30">
        <f t="shared" si="24"/>
        <v>322787.42</v>
      </c>
      <c r="F141" s="28">
        <v>30000</v>
      </c>
      <c r="G141" s="28">
        <f t="shared" si="25"/>
        <v>10.759580666666666</v>
      </c>
      <c r="H141" s="65">
        <f t="shared" si="26"/>
        <v>2.9921590486887695E-3</v>
      </c>
      <c r="I141" s="72">
        <f t="shared" si="27"/>
        <v>7.5958066666666602E-2</v>
      </c>
      <c r="J141" s="95">
        <v>157.44999999999999</v>
      </c>
      <c r="K141" s="65">
        <f t="shared" si="28"/>
        <v>5.0427677773521307E-3</v>
      </c>
      <c r="L141" s="72">
        <f t="shared" si="29"/>
        <v>5.9698478933907451E-2</v>
      </c>
    </row>
    <row r="142" spans="1:14" ht="15.75" hidden="1" thickBot="1" x14ac:dyDescent="0.3">
      <c r="A142">
        <v>4</v>
      </c>
      <c r="B142" s="27">
        <v>45615</v>
      </c>
      <c r="C142" s="95">
        <v>324251.36</v>
      </c>
      <c r="D142" s="29">
        <v>0</v>
      </c>
      <c r="E142" s="30">
        <f t="shared" si="24"/>
        <v>324251.36</v>
      </c>
      <c r="F142" s="28">
        <v>30000</v>
      </c>
      <c r="G142" s="28">
        <f t="shared" si="25"/>
        <v>10.808378666666666</v>
      </c>
      <c r="H142" s="65">
        <f t="shared" si="26"/>
        <v>4.5353068592326462E-3</v>
      </c>
      <c r="I142" s="72">
        <f t="shared" si="27"/>
        <v>8.0837866666666702E-2</v>
      </c>
      <c r="J142" s="95">
        <v>157.85</v>
      </c>
      <c r="K142" s="65">
        <f t="shared" si="28"/>
        <v>2.5404890441409478E-3</v>
      </c>
      <c r="L142" s="72">
        <f t="shared" si="29"/>
        <v>6.2390631309731992E-2</v>
      </c>
    </row>
    <row r="143" spans="1:14" ht="15.75" hidden="1" thickBot="1" x14ac:dyDescent="0.3">
      <c r="A143">
        <v>4</v>
      </c>
      <c r="B143" s="27">
        <v>45616</v>
      </c>
      <c r="C143" s="95">
        <v>324294.49839999998</v>
      </c>
      <c r="D143" s="29">
        <v>0</v>
      </c>
      <c r="E143" s="30">
        <f t="shared" si="24"/>
        <v>324294.49839999998</v>
      </c>
      <c r="F143" s="28">
        <v>30000</v>
      </c>
      <c r="G143" s="28">
        <f t="shared" si="25"/>
        <v>10.809816613333332</v>
      </c>
      <c r="H143" s="65">
        <f t="shared" si="26"/>
        <v>1.3303999711822279E-4</v>
      </c>
      <c r="I143" s="72">
        <f t="shared" si="27"/>
        <v>8.0981661333333177E-2</v>
      </c>
      <c r="J143" s="95">
        <v>157.76</v>
      </c>
      <c r="K143" s="65">
        <f t="shared" si="28"/>
        <v>-5.7016154577127498E-4</v>
      </c>
      <c r="L143" s="72">
        <f t="shared" si="29"/>
        <v>6.1784897025171537E-2</v>
      </c>
    </row>
    <row r="144" spans="1:14" ht="15.75" hidden="1" thickBot="1" x14ac:dyDescent="0.3">
      <c r="A144">
        <v>4</v>
      </c>
      <c r="B144" s="27">
        <v>45617</v>
      </c>
      <c r="C144" s="95">
        <v>326212.64000000007</v>
      </c>
      <c r="D144" s="29">
        <v>0</v>
      </c>
      <c r="E144" s="30">
        <f t="shared" si="24"/>
        <v>326212.64000000007</v>
      </c>
      <c r="F144" s="28">
        <v>30000</v>
      </c>
      <c r="G144" s="28">
        <f t="shared" si="25"/>
        <v>10.873754666666668</v>
      </c>
      <c r="H144" s="65">
        <f t="shared" si="26"/>
        <v>5.914813878939551E-3</v>
      </c>
      <c r="I144" s="72">
        <f t="shared" si="27"/>
        <v>8.7375466666666846E-2</v>
      </c>
      <c r="J144" s="95">
        <v>158.57</v>
      </c>
      <c r="K144" s="65">
        <f t="shared" si="28"/>
        <v>5.1343813387423332E-3</v>
      </c>
      <c r="L144" s="72">
        <f t="shared" si="29"/>
        <v>6.7236505586216078E-2</v>
      </c>
    </row>
    <row r="145" spans="1:14" ht="15.75" hidden="1" thickBot="1" x14ac:dyDescent="0.3">
      <c r="A145">
        <v>4</v>
      </c>
      <c r="B145" s="27">
        <v>45618</v>
      </c>
      <c r="C145" s="95">
        <v>328249.11000000004</v>
      </c>
      <c r="D145" s="29">
        <v>0</v>
      </c>
      <c r="E145" s="30">
        <f t="shared" si="24"/>
        <v>328249.11000000004</v>
      </c>
      <c r="F145" s="28">
        <v>30000</v>
      </c>
      <c r="G145" s="28">
        <f t="shared" si="25"/>
        <v>10.941637000000002</v>
      </c>
      <c r="H145" s="65">
        <f t="shared" si="26"/>
        <v>6.2427685205577177E-3</v>
      </c>
      <c r="I145" s="72">
        <f t="shared" si="27"/>
        <v>9.4163700000000183E-2</v>
      </c>
      <c r="J145" s="95">
        <v>159.26</v>
      </c>
      <c r="K145" s="65">
        <f t="shared" si="28"/>
        <v>4.3513905530681019E-3</v>
      </c>
      <c r="L145" s="72">
        <f t="shared" si="29"/>
        <v>7.1880468434513345E-2</v>
      </c>
    </row>
    <row r="146" spans="1:14" ht="15.75" hidden="1" thickBot="1" x14ac:dyDescent="0.3">
      <c r="A146">
        <v>4</v>
      </c>
      <c r="B146" s="27">
        <v>45619</v>
      </c>
      <c r="C146" s="95">
        <v>328249.11000000004</v>
      </c>
      <c r="D146" s="29">
        <v>0</v>
      </c>
      <c r="E146" s="30">
        <f t="shared" si="24"/>
        <v>328249.11000000004</v>
      </c>
      <c r="F146" s="28">
        <v>30000</v>
      </c>
      <c r="G146" s="28">
        <f t="shared" si="25"/>
        <v>10.941637000000002</v>
      </c>
      <c r="H146" s="65">
        <f t="shared" si="26"/>
        <v>0</v>
      </c>
      <c r="I146" s="72">
        <f t="shared" si="27"/>
        <v>9.4163700000000183E-2</v>
      </c>
      <c r="J146" s="95">
        <v>159.26</v>
      </c>
      <c r="K146" s="65">
        <f t="shared" si="28"/>
        <v>0</v>
      </c>
      <c r="L146" s="72">
        <f t="shared" si="29"/>
        <v>7.1880468434513345E-2</v>
      </c>
    </row>
    <row r="147" spans="1:14" ht="15.75" hidden="1" thickBot="1" x14ac:dyDescent="0.3">
      <c r="A147">
        <v>4</v>
      </c>
      <c r="B147" s="27">
        <v>45620</v>
      </c>
      <c r="C147" s="95">
        <v>328249.11000000004</v>
      </c>
      <c r="D147" s="29">
        <v>0</v>
      </c>
      <c r="E147" s="30">
        <f t="shared" si="24"/>
        <v>328249.11000000004</v>
      </c>
      <c r="F147" s="28">
        <v>30000</v>
      </c>
      <c r="G147" s="28">
        <f t="shared" si="25"/>
        <v>10.941637000000002</v>
      </c>
      <c r="H147" s="65">
        <f t="shared" si="26"/>
        <v>0</v>
      </c>
      <c r="I147" s="72">
        <f t="shared" si="27"/>
        <v>9.4163700000000183E-2</v>
      </c>
      <c r="J147" s="95">
        <v>159.26</v>
      </c>
      <c r="K147" s="65">
        <f t="shared" si="28"/>
        <v>0</v>
      </c>
      <c r="L147" s="72">
        <f t="shared" si="29"/>
        <v>7.1880468434513345E-2</v>
      </c>
      <c r="N147" s="184"/>
    </row>
    <row r="148" spans="1:14" ht="15.75" hidden="1" thickBot="1" x14ac:dyDescent="0.3">
      <c r="A148">
        <v>4</v>
      </c>
      <c r="B148" s="27">
        <v>45621</v>
      </c>
      <c r="C148" s="95">
        <v>328249.11000000004</v>
      </c>
      <c r="D148" s="29">
        <v>0</v>
      </c>
      <c r="E148" s="30">
        <f t="shared" si="24"/>
        <v>328249.11000000004</v>
      </c>
      <c r="F148" s="28">
        <v>30000</v>
      </c>
      <c r="G148" s="28">
        <f t="shared" si="25"/>
        <v>10.941637000000002</v>
      </c>
      <c r="H148" s="65">
        <f t="shared" si="26"/>
        <v>0</v>
      </c>
      <c r="I148" s="72">
        <f t="shared" si="27"/>
        <v>9.4163700000000183E-2</v>
      </c>
      <c r="J148" s="95">
        <v>159.76</v>
      </c>
      <c r="K148" s="65">
        <f t="shared" si="28"/>
        <v>3.1395202813009337E-3</v>
      </c>
      <c r="L148" s="72">
        <f t="shared" si="29"/>
        <v>7.52456589042938E-2</v>
      </c>
    </row>
    <row r="149" spans="1:14" ht="15.75" hidden="1" thickBot="1" x14ac:dyDescent="0.3">
      <c r="A149">
        <v>4</v>
      </c>
      <c r="B149" s="27">
        <v>45622</v>
      </c>
      <c r="C149" s="95">
        <v>329107.03999999998</v>
      </c>
      <c r="D149" s="29">
        <v>0</v>
      </c>
      <c r="E149" s="30">
        <f t="shared" si="24"/>
        <v>329107.03999999998</v>
      </c>
      <c r="F149" s="28">
        <v>30000</v>
      </c>
      <c r="G149" s="28">
        <f t="shared" si="25"/>
        <v>10.970234666666666</v>
      </c>
      <c r="H149" s="65">
        <f t="shared" si="26"/>
        <v>2.6136552205728858E-3</v>
      </c>
      <c r="I149" s="72">
        <f t="shared" si="27"/>
        <v>9.7023466666666724E-2</v>
      </c>
      <c r="J149" s="95">
        <v>159.26</v>
      </c>
      <c r="K149" s="65">
        <f t="shared" si="28"/>
        <v>-3.1296945418126665E-3</v>
      </c>
      <c r="L149" s="72">
        <f t="shared" si="29"/>
        <v>7.1880468434513345E-2</v>
      </c>
      <c r="N149" s="98"/>
    </row>
    <row r="150" spans="1:14" ht="15.75" hidden="1" thickBot="1" x14ac:dyDescent="0.3">
      <c r="A150">
        <v>4</v>
      </c>
      <c r="B150" s="27">
        <v>45623</v>
      </c>
      <c r="C150" s="95">
        <v>328573.64</v>
      </c>
      <c r="D150" s="29">
        <v>0</v>
      </c>
      <c r="E150" s="30">
        <f t="shared" si="24"/>
        <v>328573.64</v>
      </c>
      <c r="F150" s="28">
        <v>30000</v>
      </c>
      <c r="G150" s="28">
        <f t="shared" si="25"/>
        <v>10.952454666666668</v>
      </c>
      <c r="H150" s="65">
        <f t="shared" si="26"/>
        <v>-1.6207492857033268E-3</v>
      </c>
      <c r="I150" s="72">
        <f t="shared" si="27"/>
        <v>9.5245466666666889E-2</v>
      </c>
      <c r="J150" s="95">
        <v>159.85</v>
      </c>
      <c r="K150" s="65">
        <f t="shared" si="28"/>
        <v>3.7046339319353194E-3</v>
      </c>
      <c r="L150" s="72">
        <f t="shared" si="29"/>
        <v>7.5851393188854255E-2</v>
      </c>
    </row>
    <row r="151" spans="1:14" ht="15.75" hidden="1" thickBot="1" x14ac:dyDescent="0.3">
      <c r="A151">
        <v>4</v>
      </c>
      <c r="B151" s="27">
        <v>45624</v>
      </c>
      <c r="C151" s="95">
        <v>328573.64</v>
      </c>
      <c r="D151" s="29">
        <v>0</v>
      </c>
      <c r="E151" s="30">
        <f t="shared" si="24"/>
        <v>328573.64</v>
      </c>
      <c r="F151" s="28">
        <v>30000</v>
      </c>
      <c r="G151" s="28">
        <f t="shared" si="25"/>
        <v>10.952454666666668</v>
      </c>
      <c r="H151" s="65">
        <f t="shared" si="26"/>
        <v>0</v>
      </c>
      <c r="I151" s="72">
        <f t="shared" si="27"/>
        <v>9.5245466666666889E-2</v>
      </c>
      <c r="J151" s="95">
        <v>159.85</v>
      </c>
      <c r="K151" s="65">
        <f t="shared" si="28"/>
        <v>0</v>
      </c>
      <c r="L151" s="72">
        <f t="shared" si="29"/>
        <v>7.5851393188854255E-2</v>
      </c>
    </row>
    <row r="152" spans="1:14" ht="15.75" hidden="1" thickBot="1" x14ac:dyDescent="0.3">
      <c r="A152">
        <v>4</v>
      </c>
      <c r="B152" s="27">
        <v>45625</v>
      </c>
      <c r="C152" s="95">
        <v>329775.52</v>
      </c>
      <c r="D152" s="29">
        <v>0</v>
      </c>
      <c r="E152" s="30">
        <f t="shared" si="24"/>
        <v>329775.52</v>
      </c>
      <c r="F152" s="28">
        <v>30000</v>
      </c>
      <c r="G152" s="28">
        <f t="shared" si="25"/>
        <v>10.992517333333334</v>
      </c>
      <c r="H152" s="65">
        <f t="shared" si="26"/>
        <v>3.6578710331114372E-3</v>
      </c>
      <c r="I152" s="72">
        <f t="shared" si="27"/>
        <v>9.925173333333337E-2</v>
      </c>
      <c r="J152" s="95">
        <v>161.13999999999999</v>
      </c>
      <c r="K152" s="65">
        <f t="shared" si="28"/>
        <v>8.0700656865810849E-3</v>
      </c>
      <c r="L152" s="72">
        <f t="shared" si="29"/>
        <v>8.4533584600888334E-2</v>
      </c>
    </row>
    <row r="153" spans="1:14" ht="15.75" hidden="1" thickBot="1" x14ac:dyDescent="0.3">
      <c r="A153">
        <v>4</v>
      </c>
      <c r="B153" s="27">
        <v>45626</v>
      </c>
      <c r="C153" s="95">
        <v>329775.52</v>
      </c>
      <c r="D153" s="29">
        <v>0</v>
      </c>
      <c r="E153" s="30">
        <f t="shared" si="24"/>
        <v>329775.52</v>
      </c>
      <c r="F153" s="28">
        <v>30000</v>
      </c>
      <c r="G153" s="28">
        <f t="shared" si="25"/>
        <v>10.992517333333334</v>
      </c>
      <c r="H153" s="65">
        <f t="shared" si="26"/>
        <v>0</v>
      </c>
      <c r="I153" s="72">
        <f t="shared" si="27"/>
        <v>9.925173333333337E-2</v>
      </c>
      <c r="J153" s="95">
        <v>161.13999999999999</v>
      </c>
      <c r="K153" s="65">
        <f t="shared" si="28"/>
        <v>0</v>
      </c>
      <c r="L153" s="72">
        <f t="shared" si="29"/>
        <v>8.4533584600888334E-2</v>
      </c>
    </row>
    <row r="154" spans="1:14" ht="15.75" hidden="1" thickBot="1" x14ac:dyDescent="0.3">
      <c r="A154">
        <v>4</v>
      </c>
      <c r="B154" s="27">
        <v>45627</v>
      </c>
      <c r="C154" s="95">
        <v>329775.52</v>
      </c>
      <c r="D154" s="29">
        <v>0</v>
      </c>
      <c r="E154" s="30">
        <f t="shared" si="24"/>
        <v>329775.52</v>
      </c>
      <c r="F154" s="28">
        <v>30000</v>
      </c>
      <c r="G154" s="28">
        <f t="shared" si="25"/>
        <v>10.992517333333334</v>
      </c>
      <c r="H154" s="65">
        <f t="shared" si="26"/>
        <v>0</v>
      </c>
      <c r="I154" s="72">
        <f t="shared" si="27"/>
        <v>9.925173333333337E-2</v>
      </c>
      <c r="J154" s="95">
        <v>161.13999999999999</v>
      </c>
      <c r="K154" s="65">
        <f t="shared" si="28"/>
        <v>0</v>
      </c>
      <c r="L154" s="72">
        <f t="shared" si="29"/>
        <v>8.4533584600888334E-2</v>
      </c>
    </row>
    <row r="155" spans="1:14" ht="15.75" hidden="1" thickBot="1" x14ac:dyDescent="0.3">
      <c r="A155">
        <v>4</v>
      </c>
      <c r="B155" s="27">
        <v>45628</v>
      </c>
      <c r="C155" s="95">
        <v>330050.42849999998</v>
      </c>
      <c r="D155" s="29">
        <v>0</v>
      </c>
      <c r="E155" s="30">
        <f t="shared" si="24"/>
        <v>330050.42849999998</v>
      </c>
      <c r="F155" s="28">
        <v>30000</v>
      </c>
      <c r="G155" s="28">
        <f t="shared" si="25"/>
        <v>11.001680949999999</v>
      </c>
      <c r="H155" s="65">
        <f t="shared" si="26"/>
        <v>8.3362312642232261E-4</v>
      </c>
      <c r="I155" s="72">
        <f t="shared" si="27"/>
        <v>0.1001680949999999</v>
      </c>
      <c r="J155" s="95">
        <v>161.55000000000001</v>
      </c>
      <c r="K155" s="65">
        <f t="shared" si="28"/>
        <v>2.5443713541022372E-3</v>
      </c>
      <c r="L155" s="72">
        <f t="shared" si="29"/>
        <v>8.7293040786108556E-2</v>
      </c>
    </row>
    <row r="156" spans="1:14" ht="15.75" hidden="1" thickBot="1" x14ac:dyDescent="0.3">
      <c r="A156">
        <v>4</v>
      </c>
      <c r="B156" s="27">
        <v>45629</v>
      </c>
      <c r="C156" s="95">
        <v>330471.28999999998</v>
      </c>
      <c r="D156" s="29">
        <v>0</v>
      </c>
      <c r="E156" s="30">
        <f t="shared" si="24"/>
        <v>330471.28999999998</v>
      </c>
      <c r="F156" s="28">
        <v>30000</v>
      </c>
      <c r="G156" s="28">
        <f t="shared" si="25"/>
        <v>11.015709666666666</v>
      </c>
      <c r="H156" s="65">
        <f t="shared" si="26"/>
        <v>1.2751430195461211E-3</v>
      </c>
      <c r="I156" s="72">
        <f t="shared" si="27"/>
        <v>0.10157096666666665</v>
      </c>
      <c r="J156" s="95">
        <v>161.72</v>
      </c>
      <c r="K156" s="65">
        <f t="shared" si="28"/>
        <v>1.0523057876816733E-3</v>
      </c>
      <c r="L156" s="72">
        <f t="shared" si="29"/>
        <v>8.8437205545833786E-2</v>
      </c>
    </row>
    <row r="157" spans="1:14" ht="15.75" hidden="1" thickBot="1" x14ac:dyDescent="0.3">
      <c r="A157">
        <v>4</v>
      </c>
      <c r="B157" s="27">
        <v>45630</v>
      </c>
      <c r="C157" s="95">
        <v>331108.59999999998</v>
      </c>
      <c r="D157" s="29">
        <v>0</v>
      </c>
      <c r="E157" s="30">
        <f t="shared" si="24"/>
        <v>331108.59999999998</v>
      </c>
      <c r="F157" s="28">
        <v>30000</v>
      </c>
      <c r="G157" s="28">
        <f t="shared" si="25"/>
        <v>11.036953333333333</v>
      </c>
      <c r="H157" s="65">
        <f t="shared" si="26"/>
        <v>1.9284882508250334E-3</v>
      </c>
      <c r="I157" s="72">
        <f t="shared" si="27"/>
        <v>0.10369533333333325</v>
      </c>
      <c r="J157" s="95">
        <v>162.66</v>
      </c>
      <c r="K157" s="65">
        <f t="shared" si="28"/>
        <v>5.8125154588177796E-3</v>
      </c>
      <c r="L157" s="72">
        <f t="shared" si="29"/>
        <v>9.476376362902128E-2</v>
      </c>
    </row>
    <row r="158" spans="1:14" ht="15.75" hidden="1" thickBot="1" x14ac:dyDescent="0.3">
      <c r="A158">
        <v>4</v>
      </c>
      <c r="B158" s="27">
        <v>45631</v>
      </c>
      <c r="C158" s="95">
        <v>330745</v>
      </c>
      <c r="D158" s="29">
        <v>0</v>
      </c>
      <c r="E158" s="30">
        <f t="shared" si="24"/>
        <v>330745</v>
      </c>
      <c r="F158" s="28">
        <v>30000</v>
      </c>
      <c r="G158" s="28">
        <f t="shared" si="25"/>
        <v>11.024833333333333</v>
      </c>
      <c r="H158" s="65">
        <f t="shared" si="26"/>
        <v>-1.0981291334625221E-3</v>
      </c>
      <c r="I158" s="72">
        <f t="shared" si="27"/>
        <v>0.10248333333333326</v>
      </c>
      <c r="J158" s="95">
        <v>162.66999999999999</v>
      </c>
      <c r="K158" s="65">
        <f t="shared" si="28"/>
        <v>6.1477929423237043E-5</v>
      </c>
      <c r="L158" s="72">
        <f t="shared" si="29"/>
        <v>9.4831067438416738E-2</v>
      </c>
    </row>
    <row r="159" spans="1:14" ht="15.75" hidden="1" thickBot="1" x14ac:dyDescent="0.3">
      <c r="A159">
        <v>4</v>
      </c>
      <c r="B159" s="27">
        <v>45632</v>
      </c>
      <c r="C159" s="95">
        <v>331754.12</v>
      </c>
      <c r="D159" s="29">
        <v>0</v>
      </c>
      <c r="E159" s="30">
        <f t="shared" si="24"/>
        <v>331754.12</v>
      </c>
      <c r="F159" s="28">
        <v>30000</v>
      </c>
      <c r="G159" s="28">
        <f t="shared" si="25"/>
        <v>11.058470666666667</v>
      </c>
      <c r="H159" s="65">
        <f t="shared" si="26"/>
        <v>3.0510514142314538E-3</v>
      </c>
      <c r="I159" s="72">
        <f t="shared" si="27"/>
        <v>0.10584706666666666</v>
      </c>
      <c r="J159" s="95">
        <v>162.94999999999999</v>
      </c>
      <c r="K159" s="65">
        <f t="shared" si="28"/>
        <v>1.7212762033564921E-3</v>
      </c>
      <c r="L159" s="72">
        <f t="shared" si="29"/>
        <v>9.6715574101494006E-2</v>
      </c>
    </row>
    <row r="160" spans="1:14" ht="15.75" hidden="1" thickBot="1" x14ac:dyDescent="0.3">
      <c r="A160">
        <v>4</v>
      </c>
      <c r="B160" s="27">
        <v>45633</v>
      </c>
      <c r="C160" s="95">
        <v>331754.12</v>
      </c>
      <c r="D160" s="29">
        <v>0</v>
      </c>
      <c r="E160" s="30">
        <f t="shared" si="24"/>
        <v>331754.12</v>
      </c>
      <c r="F160" s="28">
        <v>30000</v>
      </c>
      <c r="G160" s="28">
        <f t="shared" si="25"/>
        <v>11.058470666666667</v>
      </c>
      <c r="H160" s="65">
        <f t="shared" si="26"/>
        <v>0</v>
      </c>
      <c r="I160" s="72">
        <f t="shared" si="27"/>
        <v>0.10584706666666666</v>
      </c>
      <c r="J160" s="95">
        <v>162.94999999999999</v>
      </c>
      <c r="K160" s="65">
        <f t="shared" si="28"/>
        <v>0</v>
      </c>
      <c r="L160" s="72">
        <f t="shared" si="29"/>
        <v>9.6715574101494006E-2</v>
      </c>
    </row>
    <row r="161" spans="1:12" ht="15.75" hidden="1" thickBot="1" x14ac:dyDescent="0.3">
      <c r="A161">
        <v>4</v>
      </c>
      <c r="B161" s="27">
        <v>45634</v>
      </c>
      <c r="C161" s="95">
        <v>331754.12</v>
      </c>
      <c r="D161" s="29">
        <v>0</v>
      </c>
      <c r="E161" s="30">
        <f t="shared" si="24"/>
        <v>331754.12</v>
      </c>
      <c r="F161" s="28">
        <v>30000</v>
      </c>
      <c r="G161" s="28">
        <f t="shared" si="25"/>
        <v>11.058470666666667</v>
      </c>
      <c r="H161" s="65">
        <f t="shared" si="26"/>
        <v>0</v>
      </c>
      <c r="I161" s="72">
        <f t="shared" si="27"/>
        <v>0.10584706666666666</v>
      </c>
      <c r="J161" s="95">
        <v>162.94999999999999</v>
      </c>
      <c r="K161" s="65">
        <f t="shared" si="28"/>
        <v>0</v>
      </c>
      <c r="L161" s="72">
        <f t="shared" si="29"/>
        <v>9.6715574101494006E-2</v>
      </c>
    </row>
    <row r="162" spans="1:12" ht="15.75" hidden="1" thickBot="1" x14ac:dyDescent="0.3">
      <c r="A162">
        <v>4</v>
      </c>
      <c r="B162" s="27">
        <v>45635</v>
      </c>
      <c r="C162" s="95">
        <v>329791.62</v>
      </c>
      <c r="D162" s="29">
        <v>0</v>
      </c>
      <c r="E162" s="30">
        <f t="shared" ref="E162:E184" si="30">C162-D162</f>
        <v>329791.62</v>
      </c>
      <c r="F162" s="28">
        <v>30000</v>
      </c>
      <c r="G162" s="28">
        <f t="shared" ref="G162:G184" si="31">E162/F162</f>
        <v>10.993053999999999</v>
      </c>
      <c r="H162" s="65">
        <f t="shared" si="26"/>
        <v>-5.9155256308498494E-3</v>
      </c>
      <c r="I162" s="72">
        <f t="shared" si="27"/>
        <v>9.9305399999999988E-2</v>
      </c>
      <c r="J162" s="95">
        <v>162.02000000000001</v>
      </c>
      <c r="K162" s="65">
        <f t="shared" si="28"/>
        <v>-5.7072721693769424E-3</v>
      </c>
      <c r="L162" s="72">
        <f t="shared" si="29"/>
        <v>9.0456319827702192E-2</v>
      </c>
    </row>
    <row r="163" spans="1:12" ht="15.75" hidden="1" thickBot="1" x14ac:dyDescent="0.3">
      <c r="A163">
        <v>4</v>
      </c>
      <c r="B163" s="27">
        <v>45636</v>
      </c>
      <c r="C163" s="95">
        <v>327712.31</v>
      </c>
      <c r="D163" s="29">
        <v>0</v>
      </c>
      <c r="E163" s="30">
        <f t="shared" si="30"/>
        <v>327712.31</v>
      </c>
      <c r="F163" s="28">
        <v>30000</v>
      </c>
      <c r="G163" s="28">
        <f t="shared" si="31"/>
        <v>10.923743666666667</v>
      </c>
      <c r="H163" s="65">
        <f t="shared" ref="H163:H184" si="32">G163/G162 -1</f>
        <v>-6.3049206647517453E-3</v>
      </c>
      <c r="I163" s="72">
        <f t="shared" ref="I163:I184" si="33">G163/$G$2-1</f>
        <v>9.2374366666666763E-2</v>
      </c>
      <c r="J163" s="95">
        <v>161.33000000000001</v>
      </c>
      <c r="K163" s="65">
        <f t="shared" ref="K163:K184" si="34">J163/J162 -1</f>
        <v>-4.2587334896926343E-3</v>
      </c>
      <c r="L163" s="72">
        <f t="shared" ref="L163:L184" si="35">J163/$J$2-1</f>
        <v>8.5812356979404925E-2</v>
      </c>
    </row>
    <row r="164" spans="1:12" ht="15.75" hidden="1" thickBot="1" x14ac:dyDescent="0.3">
      <c r="A164">
        <v>4</v>
      </c>
      <c r="B164" s="27">
        <v>45637</v>
      </c>
      <c r="C164" s="95">
        <v>329792.75000000006</v>
      </c>
      <c r="D164" s="29">
        <v>0</v>
      </c>
      <c r="E164" s="30">
        <f t="shared" si="30"/>
        <v>329792.75000000006</v>
      </c>
      <c r="F164" s="28">
        <v>30000</v>
      </c>
      <c r="G164" s="28">
        <f t="shared" si="31"/>
        <v>10.993091666666668</v>
      </c>
      <c r="H164" s="65">
        <f t="shared" si="32"/>
        <v>6.3483730592850396E-3</v>
      </c>
      <c r="I164" s="72">
        <f t="shared" si="33"/>
        <v>9.9309166666666782E-2</v>
      </c>
      <c r="J164" s="95">
        <v>162.59</v>
      </c>
      <c r="K164" s="65">
        <f t="shared" si="34"/>
        <v>7.8100787206347722E-3</v>
      </c>
      <c r="L164" s="72">
        <f t="shared" si="35"/>
        <v>9.4292636963251963E-2</v>
      </c>
    </row>
    <row r="165" spans="1:12" ht="15.75" hidden="1" thickBot="1" x14ac:dyDescent="0.3">
      <c r="A165">
        <v>4</v>
      </c>
      <c r="B165" s="27">
        <v>45638</v>
      </c>
      <c r="C165" s="95">
        <v>328160.37</v>
      </c>
      <c r="D165" s="29">
        <v>0</v>
      </c>
      <c r="E165" s="30">
        <f t="shared" si="30"/>
        <v>328160.37</v>
      </c>
      <c r="F165" s="28">
        <v>30000</v>
      </c>
      <c r="G165" s="28">
        <f t="shared" si="31"/>
        <v>10.938679</v>
      </c>
      <c r="H165" s="65">
        <f t="shared" si="32"/>
        <v>-4.9497146313860485E-3</v>
      </c>
      <c r="I165" s="72">
        <f t="shared" si="33"/>
        <v>9.3867900000000004E-2</v>
      </c>
      <c r="J165" s="95">
        <v>161.54</v>
      </c>
      <c r="K165" s="65">
        <f t="shared" si="34"/>
        <v>-6.4579617442648285E-3</v>
      </c>
      <c r="L165" s="72">
        <f t="shared" si="35"/>
        <v>8.7225736976712653E-2</v>
      </c>
    </row>
    <row r="166" spans="1:12" ht="15.75" hidden="1" thickBot="1" x14ac:dyDescent="0.3">
      <c r="A166">
        <v>4</v>
      </c>
      <c r="B166" s="27">
        <v>45639</v>
      </c>
      <c r="C166" s="95">
        <v>328587.88000000006</v>
      </c>
      <c r="D166" s="29">
        <v>0</v>
      </c>
      <c r="E166" s="30">
        <f t="shared" si="30"/>
        <v>328587.88000000006</v>
      </c>
      <c r="F166" s="28">
        <v>30000</v>
      </c>
      <c r="G166" s="28">
        <f t="shared" si="31"/>
        <v>10.952929333333335</v>
      </c>
      <c r="H166" s="65">
        <f t="shared" si="32"/>
        <v>1.302747190344844E-3</v>
      </c>
      <c r="I166" s="72">
        <f t="shared" si="33"/>
        <v>9.5292933333333441E-2</v>
      </c>
      <c r="J166" s="95">
        <v>161.35</v>
      </c>
      <c r="K166" s="65">
        <f t="shared" si="34"/>
        <v>-1.1761792744831023E-3</v>
      </c>
      <c r="L166" s="72">
        <f t="shared" si="35"/>
        <v>8.5946964598196063E-2</v>
      </c>
    </row>
    <row r="167" spans="1:12" ht="15.75" hidden="1" thickBot="1" x14ac:dyDescent="0.3">
      <c r="A167">
        <v>4</v>
      </c>
      <c r="B167" s="27">
        <v>45640</v>
      </c>
      <c r="C167" s="95">
        <v>328587.88000000006</v>
      </c>
      <c r="D167" s="29">
        <v>0</v>
      </c>
      <c r="E167" s="30">
        <f t="shared" si="30"/>
        <v>328587.88000000006</v>
      </c>
      <c r="F167" s="28">
        <v>30000</v>
      </c>
      <c r="G167" s="28">
        <f t="shared" si="31"/>
        <v>10.952929333333335</v>
      </c>
      <c r="H167" s="65">
        <f t="shared" si="32"/>
        <v>0</v>
      </c>
      <c r="I167" s="72">
        <f t="shared" si="33"/>
        <v>9.5292933333333441E-2</v>
      </c>
      <c r="J167" s="95">
        <v>161.35</v>
      </c>
      <c r="K167" s="65">
        <f t="shared" si="34"/>
        <v>0</v>
      </c>
      <c r="L167" s="72">
        <f t="shared" si="35"/>
        <v>8.5946964598196063E-2</v>
      </c>
    </row>
    <row r="168" spans="1:12" ht="15.75" hidden="1" thickBot="1" x14ac:dyDescent="0.3">
      <c r="A168">
        <v>4</v>
      </c>
      <c r="B168" s="27">
        <v>45641</v>
      </c>
      <c r="C168" s="95">
        <v>328587.88000000006</v>
      </c>
      <c r="D168" s="29">
        <v>0</v>
      </c>
      <c r="E168" s="30">
        <f t="shared" si="30"/>
        <v>328587.88000000006</v>
      </c>
      <c r="F168" s="28">
        <v>30000</v>
      </c>
      <c r="G168" s="28">
        <f t="shared" si="31"/>
        <v>10.952929333333335</v>
      </c>
      <c r="H168" s="65">
        <f t="shared" si="32"/>
        <v>0</v>
      </c>
      <c r="I168" s="72">
        <f t="shared" si="33"/>
        <v>9.5292933333333441E-2</v>
      </c>
      <c r="J168" s="95">
        <v>161.35</v>
      </c>
      <c r="K168" s="65">
        <f t="shared" si="34"/>
        <v>0</v>
      </c>
      <c r="L168" s="72">
        <f t="shared" si="35"/>
        <v>8.5946964598196063E-2</v>
      </c>
    </row>
    <row r="169" spans="1:12" ht="15.75" hidden="1" thickBot="1" x14ac:dyDescent="0.3">
      <c r="A169">
        <v>4</v>
      </c>
      <c r="B169" s="27">
        <v>45642</v>
      </c>
      <c r="C169" s="95">
        <v>329523.24000000005</v>
      </c>
      <c r="D169" s="29">
        <v>0</v>
      </c>
      <c r="E169" s="30">
        <f t="shared" si="30"/>
        <v>329523.24000000005</v>
      </c>
      <c r="F169" s="28">
        <v>30000</v>
      </c>
      <c r="G169" s="28">
        <f t="shared" si="31"/>
        <v>10.984108000000001</v>
      </c>
      <c r="H169" s="65">
        <f t="shared" si="32"/>
        <v>2.8466052977973444E-3</v>
      </c>
      <c r="I169" s="72">
        <f t="shared" si="33"/>
        <v>9.8410800000000132E-2</v>
      </c>
      <c r="J169" s="95">
        <v>161.69999999999999</v>
      </c>
      <c r="K169" s="65">
        <f t="shared" si="34"/>
        <v>2.1691973969630851E-3</v>
      </c>
      <c r="L169" s="72">
        <f t="shared" si="35"/>
        <v>8.8302597927042425E-2</v>
      </c>
    </row>
    <row r="170" spans="1:12" ht="15.75" hidden="1" thickBot="1" x14ac:dyDescent="0.3">
      <c r="A170">
        <v>4</v>
      </c>
      <c r="B170" s="27">
        <v>45643</v>
      </c>
      <c r="C170" s="95">
        <v>327340.95</v>
      </c>
      <c r="D170" s="29">
        <v>0</v>
      </c>
      <c r="E170" s="30">
        <f t="shared" si="30"/>
        <v>327340.95</v>
      </c>
      <c r="F170" s="28">
        <v>30000</v>
      </c>
      <c r="G170" s="28">
        <f t="shared" si="31"/>
        <v>10.911365</v>
      </c>
      <c r="H170" s="65">
        <f t="shared" si="32"/>
        <v>-6.6225678043224656E-3</v>
      </c>
      <c r="I170" s="72">
        <f t="shared" si="33"/>
        <v>9.1136499999999954E-2</v>
      </c>
      <c r="J170" s="95">
        <v>160</v>
      </c>
      <c r="K170" s="65">
        <f t="shared" si="34"/>
        <v>-1.0513296227581903E-2</v>
      </c>
      <c r="L170" s="72">
        <f t="shared" si="35"/>
        <v>7.6860950329788569E-2</v>
      </c>
    </row>
    <row r="171" spans="1:12" ht="15.75" hidden="1" thickBot="1" x14ac:dyDescent="0.3">
      <c r="A171">
        <v>4</v>
      </c>
      <c r="B171" s="27">
        <v>45644</v>
      </c>
      <c r="C171" s="95">
        <v>319199.28999999998</v>
      </c>
      <c r="D171" s="29">
        <v>0</v>
      </c>
      <c r="E171" s="30">
        <f t="shared" si="30"/>
        <v>319199.28999999998</v>
      </c>
      <c r="F171" s="28">
        <v>30000</v>
      </c>
      <c r="G171" s="28">
        <f t="shared" si="31"/>
        <v>10.639976333333333</v>
      </c>
      <c r="H171" s="65">
        <f t="shared" si="32"/>
        <v>-2.4872109645921125E-2</v>
      </c>
      <c r="I171" s="72">
        <f t="shared" si="33"/>
        <v>6.3997633333333415E-2</v>
      </c>
      <c r="J171" s="95">
        <v>155.38</v>
      </c>
      <c r="K171" s="65">
        <f t="shared" si="34"/>
        <v>-2.8874999999999984E-2</v>
      </c>
      <c r="L171" s="72">
        <f t="shared" si="35"/>
        <v>4.5766590389015871E-2</v>
      </c>
    </row>
    <row r="172" spans="1:12" ht="15.75" hidden="1" thickBot="1" x14ac:dyDescent="0.3">
      <c r="A172">
        <v>4</v>
      </c>
      <c r="B172" s="27">
        <v>45645</v>
      </c>
      <c r="C172" s="95">
        <v>318691.82</v>
      </c>
      <c r="D172" s="29">
        <v>0</v>
      </c>
      <c r="E172" s="30">
        <f t="shared" si="30"/>
        <v>318691.82</v>
      </c>
      <c r="F172" s="28">
        <v>30000</v>
      </c>
      <c r="G172" s="28">
        <f t="shared" si="31"/>
        <v>10.623060666666667</v>
      </c>
      <c r="H172" s="65">
        <f t="shared" si="32"/>
        <v>-1.5898218319970736E-3</v>
      </c>
      <c r="I172" s="72">
        <f t="shared" si="33"/>
        <v>6.2306066666666826E-2</v>
      </c>
      <c r="J172" s="95">
        <v>155.16</v>
      </c>
      <c r="K172" s="65">
        <f t="shared" si="34"/>
        <v>-1.4158836401081398E-3</v>
      </c>
      <c r="L172" s="72">
        <f t="shared" si="35"/>
        <v>4.4285906582312462E-2</v>
      </c>
    </row>
    <row r="173" spans="1:12" ht="15.75" hidden="1" thickBot="1" x14ac:dyDescent="0.3">
      <c r="A173">
        <v>4</v>
      </c>
      <c r="B173" s="27">
        <v>45646</v>
      </c>
      <c r="C173" s="95">
        <v>320516</v>
      </c>
      <c r="D173" s="29">
        <v>0</v>
      </c>
      <c r="E173" s="30">
        <f t="shared" si="30"/>
        <v>320516</v>
      </c>
      <c r="F173" s="28">
        <v>30000</v>
      </c>
      <c r="G173" s="28">
        <f t="shared" si="31"/>
        <v>10.683866666666667</v>
      </c>
      <c r="H173" s="65">
        <f t="shared" si="32"/>
        <v>5.7239624161047331E-3</v>
      </c>
      <c r="I173" s="72">
        <f t="shared" si="33"/>
        <v>6.8386666666666596E-2</v>
      </c>
      <c r="J173" s="95">
        <v>156.36000000000001</v>
      </c>
      <c r="K173" s="65">
        <f t="shared" si="34"/>
        <v>7.7339520494974501E-3</v>
      </c>
      <c r="L173" s="72">
        <f t="shared" si="35"/>
        <v>5.2362363709786086E-2</v>
      </c>
    </row>
    <row r="174" spans="1:12" ht="15.75" hidden="1" thickBot="1" x14ac:dyDescent="0.3">
      <c r="A174">
        <v>4</v>
      </c>
      <c r="B174" s="27">
        <v>45647</v>
      </c>
      <c r="C174" s="95">
        <v>320516</v>
      </c>
      <c r="D174" s="29">
        <v>0</v>
      </c>
      <c r="E174" s="30">
        <f t="shared" si="30"/>
        <v>320516</v>
      </c>
      <c r="F174" s="28">
        <v>30000</v>
      </c>
      <c r="G174" s="28">
        <f t="shared" si="31"/>
        <v>10.683866666666667</v>
      </c>
      <c r="H174" s="65">
        <f t="shared" si="32"/>
        <v>0</v>
      </c>
      <c r="I174" s="72">
        <f t="shared" si="33"/>
        <v>6.8386666666666596E-2</v>
      </c>
      <c r="J174" s="95">
        <v>156.36000000000001</v>
      </c>
      <c r="K174" s="65">
        <f t="shared" si="34"/>
        <v>0</v>
      </c>
      <c r="L174" s="72">
        <f t="shared" si="35"/>
        <v>5.2362363709786086E-2</v>
      </c>
    </row>
    <row r="175" spans="1:12" ht="15.75" hidden="1" thickBot="1" x14ac:dyDescent="0.3">
      <c r="A175">
        <v>4</v>
      </c>
      <c r="B175" s="27">
        <v>45648</v>
      </c>
      <c r="C175" s="95">
        <v>320516</v>
      </c>
      <c r="D175" s="29">
        <v>0</v>
      </c>
      <c r="E175" s="30">
        <f t="shared" si="30"/>
        <v>320516</v>
      </c>
      <c r="F175" s="28">
        <v>30000</v>
      </c>
      <c r="G175" s="28">
        <f t="shared" si="31"/>
        <v>10.683866666666667</v>
      </c>
      <c r="H175" s="65">
        <f t="shared" si="32"/>
        <v>0</v>
      </c>
      <c r="I175" s="72">
        <f t="shared" si="33"/>
        <v>6.8386666666666596E-2</v>
      </c>
      <c r="J175" s="95">
        <v>156.36000000000001</v>
      </c>
      <c r="K175" s="65">
        <f t="shared" si="34"/>
        <v>0</v>
      </c>
      <c r="L175" s="72">
        <f t="shared" si="35"/>
        <v>5.2362363709786086E-2</v>
      </c>
    </row>
    <row r="176" spans="1:12" ht="15.75" hidden="1" thickBot="1" x14ac:dyDescent="0.3">
      <c r="A176">
        <v>4</v>
      </c>
      <c r="B176" s="27">
        <v>45649</v>
      </c>
      <c r="C176" s="95">
        <v>321525.81</v>
      </c>
      <c r="D176" s="29">
        <v>0</v>
      </c>
      <c r="E176" s="30">
        <f t="shared" si="30"/>
        <v>321525.81</v>
      </c>
      <c r="F176" s="28">
        <v>30000</v>
      </c>
      <c r="G176" s="28">
        <f t="shared" si="31"/>
        <v>10.717527</v>
      </c>
      <c r="H176" s="65">
        <f t="shared" si="32"/>
        <v>3.1505759462866489E-3</v>
      </c>
      <c r="I176" s="72">
        <f t="shared" si="33"/>
        <v>7.1752700000000003E-2</v>
      </c>
      <c r="J176" s="95">
        <v>157.36000000000001</v>
      </c>
      <c r="K176" s="65">
        <f t="shared" si="34"/>
        <v>6.3954975697109173E-3</v>
      </c>
      <c r="L176" s="72">
        <f t="shared" si="35"/>
        <v>5.9092744649347217E-2</v>
      </c>
    </row>
    <row r="177" spans="1:12" ht="15.75" hidden="1" thickBot="1" x14ac:dyDescent="0.3">
      <c r="A177">
        <v>4</v>
      </c>
      <c r="B177" s="27">
        <v>45650</v>
      </c>
      <c r="C177" s="95">
        <v>321599.34999999998</v>
      </c>
      <c r="D177" s="29">
        <v>0</v>
      </c>
      <c r="E177" s="30">
        <f t="shared" si="30"/>
        <v>321599.34999999998</v>
      </c>
      <c r="F177" s="28">
        <v>30000</v>
      </c>
      <c r="G177" s="28">
        <f t="shared" si="31"/>
        <v>10.719978333333332</v>
      </c>
      <c r="H177" s="65">
        <f t="shared" si="32"/>
        <v>2.2872191815626053E-4</v>
      </c>
      <c r="I177" s="72">
        <f t="shared" si="33"/>
        <v>7.1997833333333094E-2</v>
      </c>
      <c r="J177" s="95">
        <v>157.4</v>
      </c>
      <c r="K177" s="65">
        <f t="shared" si="34"/>
        <v>2.5419420437211571E-4</v>
      </c>
      <c r="L177" s="72">
        <f t="shared" si="35"/>
        <v>5.9361959886929494E-2</v>
      </c>
    </row>
    <row r="178" spans="1:12" ht="15.75" hidden="1" thickBot="1" x14ac:dyDescent="0.3">
      <c r="A178">
        <v>4</v>
      </c>
      <c r="B178" s="27">
        <v>45651</v>
      </c>
      <c r="C178" s="95">
        <v>323877.8</v>
      </c>
      <c r="D178" s="29">
        <v>0</v>
      </c>
      <c r="E178" s="30">
        <f t="shared" si="30"/>
        <v>323877.8</v>
      </c>
      <c r="F178" s="28">
        <v>30000</v>
      </c>
      <c r="G178" s="28">
        <f t="shared" si="31"/>
        <v>10.795926666666666</v>
      </c>
      <c r="H178" s="65">
        <f t="shared" si="32"/>
        <v>7.0847469063604063E-3</v>
      </c>
      <c r="I178" s="72">
        <f t="shared" si="33"/>
        <v>7.9592666666666645E-2</v>
      </c>
      <c r="J178" s="95">
        <v>158.77000000000001</v>
      </c>
      <c r="K178" s="65">
        <f t="shared" si="34"/>
        <v>8.7039390088945456E-3</v>
      </c>
      <c r="L178" s="72">
        <f t="shared" si="35"/>
        <v>6.8582581774128348E-2</v>
      </c>
    </row>
    <row r="179" spans="1:12" ht="15.75" hidden="1" thickBot="1" x14ac:dyDescent="0.3">
      <c r="A179">
        <v>4</v>
      </c>
      <c r="B179" s="27">
        <v>45652</v>
      </c>
      <c r="C179" s="95">
        <v>324065.46999999997</v>
      </c>
      <c r="D179" s="29">
        <v>0</v>
      </c>
      <c r="E179" s="30">
        <f t="shared" si="30"/>
        <v>324065.46999999997</v>
      </c>
      <c r="F179" s="28">
        <v>30000</v>
      </c>
      <c r="G179" s="28">
        <f t="shared" si="31"/>
        <v>10.802182333333333</v>
      </c>
      <c r="H179" s="65">
        <f t="shared" si="32"/>
        <v>5.7944693955547244E-4</v>
      </c>
      <c r="I179" s="72">
        <f t="shared" si="33"/>
        <v>8.0218233333333222E-2</v>
      </c>
      <c r="J179" s="95">
        <v>159.06</v>
      </c>
      <c r="K179" s="65">
        <f t="shared" si="34"/>
        <v>1.8265415380738226E-3</v>
      </c>
      <c r="L179" s="72">
        <f t="shared" si="35"/>
        <v>7.0534392246601074E-2</v>
      </c>
    </row>
    <row r="180" spans="1:12" ht="15.75" hidden="1" thickBot="1" x14ac:dyDescent="0.3">
      <c r="A180">
        <v>4</v>
      </c>
      <c r="B180" s="27">
        <v>45653</v>
      </c>
      <c r="C180" s="95">
        <v>321626.38</v>
      </c>
      <c r="D180" s="29">
        <v>0</v>
      </c>
      <c r="E180" s="30">
        <f t="shared" si="30"/>
        <v>321626.38</v>
      </c>
      <c r="F180" s="28">
        <v>30000</v>
      </c>
      <c r="G180" s="28">
        <f t="shared" si="31"/>
        <v>10.720879333333334</v>
      </c>
      <c r="H180" s="65">
        <f t="shared" si="32"/>
        <v>-7.526534684488162E-3</v>
      </c>
      <c r="I180" s="72">
        <f t="shared" si="33"/>
        <v>7.208793333333352E-2</v>
      </c>
      <c r="J180" s="95">
        <v>157.6</v>
      </c>
      <c r="K180" s="65">
        <f t="shared" si="34"/>
        <v>-9.1789261913743925E-3</v>
      </c>
      <c r="L180" s="72">
        <f t="shared" si="35"/>
        <v>6.0708036074841765E-2</v>
      </c>
    </row>
    <row r="181" spans="1:12" ht="15.75" hidden="1" thickBot="1" x14ac:dyDescent="0.3">
      <c r="A181">
        <v>4</v>
      </c>
      <c r="B181" s="27">
        <v>45654</v>
      </c>
      <c r="C181" s="95">
        <v>321626.38</v>
      </c>
      <c r="D181" s="29">
        <v>0</v>
      </c>
      <c r="E181" s="30">
        <f t="shared" si="30"/>
        <v>321626.38</v>
      </c>
      <c r="F181" s="28">
        <v>30000</v>
      </c>
      <c r="G181" s="28">
        <f t="shared" si="31"/>
        <v>10.720879333333334</v>
      </c>
      <c r="H181" s="65">
        <f t="shared" si="32"/>
        <v>0</v>
      </c>
      <c r="I181" s="72">
        <f t="shared" si="33"/>
        <v>7.208793333333352E-2</v>
      </c>
      <c r="J181" s="95">
        <v>157.6</v>
      </c>
      <c r="K181" s="65">
        <f t="shared" si="34"/>
        <v>0</v>
      </c>
      <c r="L181" s="72">
        <f t="shared" si="35"/>
        <v>6.0708036074841765E-2</v>
      </c>
    </row>
    <row r="182" spans="1:12" ht="15.75" hidden="1" thickBot="1" x14ac:dyDescent="0.3">
      <c r="A182">
        <v>4</v>
      </c>
      <c r="B182" s="27">
        <v>45655</v>
      </c>
      <c r="C182" s="95">
        <v>321626.38</v>
      </c>
      <c r="D182" s="29">
        <v>0</v>
      </c>
      <c r="E182" s="30">
        <f t="shared" si="30"/>
        <v>321626.38</v>
      </c>
      <c r="F182" s="28">
        <v>30000</v>
      </c>
      <c r="G182" s="28">
        <f t="shared" si="31"/>
        <v>10.720879333333334</v>
      </c>
      <c r="H182" s="65">
        <f t="shared" si="32"/>
        <v>0</v>
      </c>
      <c r="I182" s="72">
        <f t="shared" si="33"/>
        <v>7.208793333333352E-2</v>
      </c>
      <c r="J182" s="95">
        <v>157.6</v>
      </c>
      <c r="K182" s="65">
        <f t="shared" si="34"/>
        <v>0</v>
      </c>
      <c r="L182" s="72">
        <f t="shared" si="35"/>
        <v>6.0708036074841765E-2</v>
      </c>
    </row>
    <row r="183" spans="1:12" ht="15.75" hidden="1" thickBot="1" x14ac:dyDescent="0.3">
      <c r="A183">
        <v>4</v>
      </c>
      <c r="B183" s="27">
        <v>45656</v>
      </c>
      <c r="C183" s="95">
        <v>319211.34999999998</v>
      </c>
      <c r="D183" s="29">
        <v>0</v>
      </c>
      <c r="E183" s="30">
        <f t="shared" si="30"/>
        <v>319211.34999999998</v>
      </c>
      <c r="F183" s="28">
        <v>30000</v>
      </c>
      <c r="G183" s="28">
        <f t="shared" si="31"/>
        <v>10.640378333333333</v>
      </c>
      <c r="H183" s="65">
        <f t="shared" si="32"/>
        <v>-7.5088057142578268E-3</v>
      </c>
      <c r="I183" s="72">
        <f t="shared" si="33"/>
        <v>6.4037833333333349E-2</v>
      </c>
      <c r="J183" s="95">
        <v>156.12</v>
      </c>
      <c r="K183" s="65">
        <f t="shared" si="34"/>
        <v>-9.3908629441623592E-3</v>
      </c>
      <c r="L183" s="72">
        <f t="shared" si="35"/>
        <v>5.0747072284291317E-2</v>
      </c>
    </row>
    <row r="184" spans="1:12" ht="15.75" hidden="1" thickBot="1" x14ac:dyDescent="0.3">
      <c r="A184">
        <v>4</v>
      </c>
      <c r="B184" s="27">
        <v>45657</v>
      </c>
      <c r="C184" s="95">
        <v>318232.55500000005</v>
      </c>
      <c r="D184" s="29">
        <v>0</v>
      </c>
      <c r="E184" s="30">
        <f t="shared" si="30"/>
        <v>318232.55500000005</v>
      </c>
      <c r="F184" s="28">
        <v>30000</v>
      </c>
      <c r="G184" s="28">
        <f t="shared" si="31"/>
        <v>10.607751833333335</v>
      </c>
      <c r="H184" s="65">
        <f t="shared" si="32"/>
        <v>-3.0662913458432417E-3</v>
      </c>
      <c r="I184" s="72">
        <f t="shared" si="33"/>
        <v>6.0775183333333427E-2</v>
      </c>
      <c r="J184" s="95">
        <v>155.5</v>
      </c>
      <c r="K184" s="65">
        <f t="shared" si="34"/>
        <v>-3.9713041250321046E-3</v>
      </c>
      <c r="L184" s="72">
        <f t="shared" si="35"/>
        <v>4.6574236101763367E-2</v>
      </c>
    </row>
    <row r="185" spans="1:12" ht="15.75" hidden="1" thickBot="1" x14ac:dyDescent="0.3">
      <c r="A185" s="35" t="s">
        <v>84</v>
      </c>
      <c r="B185" s="35" t="s">
        <v>3</v>
      </c>
      <c r="C185" s="36" t="s">
        <v>85</v>
      </c>
      <c r="D185" s="37" t="s">
        <v>86</v>
      </c>
      <c r="E185" s="37" t="s">
        <v>87</v>
      </c>
      <c r="F185" s="37" t="s">
        <v>88</v>
      </c>
      <c r="G185" s="38" t="s">
        <v>89</v>
      </c>
      <c r="H185" s="158" t="s">
        <v>90</v>
      </c>
      <c r="I185" s="158" t="s">
        <v>7</v>
      </c>
      <c r="J185" s="158" t="s">
        <v>91</v>
      </c>
      <c r="K185" s="158" t="s">
        <v>92</v>
      </c>
      <c r="L185" s="158" t="s">
        <v>93</v>
      </c>
    </row>
    <row r="186" spans="1:12" ht="15.75" hidden="1" thickBot="1" x14ac:dyDescent="0.3">
      <c r="A186">
        <v>1</v>
      </c>
      <c r="B186" s="27">
        <v>45658</v>
      </c>
      <c r="C186" s="95">
        <v>318232.55500000005</v>
      </c>
      <c r="D186" s="29">
        <v>0</v>
      </c>
      <c r="E186" s="30">
        <f t="shared" ref="E186:E249" si="36">C186-D186</f>
        <v>318232.55500000005</v>
      </c>
      <c r="F186" s="28">
        <v>30000</v>
      </c>
      <c r="G186" s="28">
        <f t="shared" ref="G186:G249" si="37">E186/F186</f>
        <v>10.607751833333335</v>
      </c>
      <c r="H186" s="65">
        <f>G186/G184 -1</f>
        <v>0</v>
      </c>
      <c r="I186" s="72">
        <f t="shared" ref="I186:I249" si="38">G186/$G$186-1</f>
        <v>0</v>
      </c>
      <c r="J186" s="95">
        <v>155.5</v>
      </c>
      <c r="K186" s="65">
        <f>J186/J184 -1</f>
        <v>0</v>
      </c>
      <c r="L186" s="72">
        <f t="shared" ref="L186:L249" si="39">J186/$J$186-1</f>
        <v>0</v>
      </c>
    </row>
    <row r="187" spans="1:12" ht="15.75" hidden="1" thickBot="1" x14ac:dyDescent="0.3">
      <c r="A187">
        <v>1</v>
      </c>
      <c r="B187" s="27">
        <v>45659</v>
      </c>
      <c r="C187" s="95">
        <v>318543.53999999998</v>
      </c>
      <c r="D187" s="29">
        <v>0</v>
      </c>
      <c r="E187" s="30">
        <f t="shared" si="36"/>
        <v>318543.53999999998</v>
      </c>
      <c r="F187" s="28">
        <v>30000</v>
      </c>
      <c r="G187" s="28">
        <f t="shared" si="37"/>
        <v>10.618117999999999</v>
      </c>
      <c r="H187" s="65">
        <f t="shared" ref="H187:H250" si="40">G187/G186 -1</f>
        <v>9.7722560157276206E-4</v>
      </c>
      <c r="I187" s="72">
        <f t="shared" si="38"/>
        <v>9.7722560157276206E-4</v>
      </c>
      <c r="J187" s="95">
        <v>155.19999999999999</v>
      </c>
      <c r="K187" s="65">
        <f t="shared" ref="K187:K250" si="41">J187/J186 -1</f>
        <v>-1.9292604501608412E-3</v>
      </c>
      <c r="L187" s="72">
        <f t="shared" si="39"/>
        <v>-1.9292604501608412E-3</v>
      </c>
    </row>
    <row r="188" spans="1:12" ht="15.75" hidden="1" thickBot="1" x14ac:dyDescent="0.3">
      <c r="A188">
        <v>1</v>
      </c>
      <c r="B188" s="27">
        <v>45660</v>
      </c>
      <c r="C188" s="95">
        <v>321532.45999999996</v>
      </c>
      <c r="D188" s="29">
        <v>0</v>
      </c>
      <c r="E188" s="30">
        <f t="shared" si="36"/>
        <v>321532.45999999996</v>
      </c>
      <c r="F188" s="28">
        <v>30000</v>
      </c>
      <c r="G188" s="28">
        <f t="shared" si="37"/>
        <v>10.717748666666665</v>
      </c>
      <c r="H188" s="65">
        <f t="shared" si="40"/>
        <v>9.3830815090458763E-3</v>
      </c>
      <c r="I188" s="72">
        <f t="shared" si="38"/>
        <v>1.0369476498090835E-2</v>
      </c>
      <c r="J188" s="95">
        <v>156.97999999999999</v>
      </c>
      <c r="K188" s="65">
        <f t="shared" si="41"/>
        <v>1.1469072164948413E-2</v>
      </c>
      <c r="L188" s="72">
        <f t="shared" si="39"/>
        <v>9.517684887459632E-3</v>
      </c>
    </row>
    <row r="189" spans="1:12" ht="15.75" hidden="1" thickBot="1" x14ac:dyDescent="0.3">
      <c r="A189">
        <v>1</v>
      </c>
      <c r="B189" s="27">
        <v>45661</v>
      </c>
      <c r="C189" s="95">
        <v>321532.45999999996</v>
      </c>
      <c r="D189" s="29">
        <v>0</v>
      </c>
      <c r="E189" s="30">
        <f t="shared" si="36"/>
        <v>321532.45999999996</v>
      </c>
      <c r="F189" s="28">
        <v>30000</v>
      </c>
      <c r="G189" s="28">
        <f t="shared" si="37"/>
        <v>10.717748666666665</v>
      </c>
      <c r="H189" s="65">
        <f t="shared" si="40"/>
        <v>0</v>
      </c>
      <c r="I189" s="72">
        <f t="shared" si="38"/>
        <v>1.0369476498090835E-2</v>
      </c>
      <c r="J189" s="95">
        <v>156.97999999999999</v>
      </c>
      <c r="K189" s="65">
        <f t="shared" si="41"/>
        <v>0</v>
      </c>
      <c r="L189" s="72">
        <f t="shared" si="39"/>
        <v>9.517684887459632E-3</v>
      </c>
    </row>
    <row r="190" spans="1:12" ht="15.75" hidden="1" thickBot="1" x14ac:dyDescent="0.3">
      <c r="A190">
        <v>1</v>
      </c>
      <c r="B190" s="27">
        <v>45662</v>
      </c>
      <c r="C190" s="95">
        <v>321532.45999999996</v>
      </c>
      <c r="D190" s="29">
        <v>0</v>
      </c>
      <c r="E190" s="30">
        <f t="shared" si="36"/>
        <v>321532.45999999996</v>
      </c>
      <c r="F190" s="28">
        <v>30000</v>
      </c>
      <c r="G190" s="28">
        <f t="shared" si="37"/>
        <v>10.717748666666665</v>
      </c>
      <c r="H190" s="65">
        <f t="shared" si="40"/>
        <v>0</v>
      </c>
      <c r="I190" s="72">
        <f t="shared" si="38"/>
        <v>1.0369476498090835E-2</v>
      </c>
      <c r="J190" s="95">
        <v>156.97999999999999</v>
      </c>
      <c r="K190" s="65">
        <f t="shared" si="41"/>
        <v>0</v>
      </c>
      <c r="L190" s="72">
        <f t="shared" si="39"/>
        <v>9.517684887459632E-3</v>
      </c>
    </row>
    <row r="191" spans="1:12" ht="15.75" hidden="1" thickBot="1" x14ac:dyDescent="0.3">
      <c r="A191">
        <v>1</v>
      </c>
      <c r="B191" s="27">
        <v>45663</v>
      </c>
      <c r="C191" s="95">
        <v>322574.48</v>
      </c>
      <c r="D191" s="29">
        <v>0</v>
      </c>
      <c r="E191" s="30">
        <f t="shared" si="36"/>
        <v>322574.48</v>
      </c>
      <c r="F191" s="28">
        <v>30000</v>
      </c>
      <c r="G191" s="28">
        <f t="shared" si="37"/>
        <v>10.752482666666666</v>
      </c>
      <c r="H191" s="65">
        <f t="shared" si="40"/>
        <v>3.2407925470416821E-3</v>
      </c>
      <c r="I191" s="72">
        <f t="shared" si="38"/>
        <v>1.3643874367284425E-2</v>
      </c>
      <c r="J191" s="95">
        <v>157.76</v>
      </c>
      <c r="K191" s="65">
        <f t="shared" si="41"/>
        <v>4.9687858325901946E-3</v>
      </c>
      <c r="L191" s="72">
        <f t="shared" si="39"/>
        <v>1.4533762057877819E-2</v>
      </c>
    </row>
    <row r="192" spans="1:12" ht="15.75" hidden="1" thickBot="1" x14ac:dyDescent="0.3">
      <c r="A192">
        <v>1</v>
      </c>
      <c r="B192" s="27">
        <v>45664</v>
      </c>
      <c r="C192" s="95">
        <v>320144.565</v>
      </c>
      <c r="D192" s="29">
        <v>0</v>
      </c>
      <c r="E192" s="30">
        <f t="shared" si="36"/>
        <v>320144.565</v>
      </c>
      <c r="F192" s="28">
        <v>30000</v>
      </c>
      <c r="G192" s="28">
        <f t="shared" si="37"/>
        <v>10.671485499999999</v>
      </c>
      <c r="H192" s="65">
        <f t="shared" si="40"/>
        <v>-7.5328804684114958E-3</v>
      </c>
      <c r="I192" s="72">
        <f t="shared" si="38"/>
        <v>6.0082162241381631E-3</v>
      </c>
      <c r="J192" s="95">
        <v>156.41</v>
      </c>
      <c r="K192" s="65">
        <f t="shared" si="41"/>
        <v>-8.5573022312372959E-3</v>
      </c>
      <c r="L192" s="72">
        <f t="shared" si="39"/>
        <v>5.8520900321543667E-3</v>
      </c>
    </row>
    <row r="193" spans="1:12" ht="15.75" hidden="1" thickBot="1" x14ac:dyDescent="0.3">
      <c r="A193">
        <v>1</v>
      </c>
      <c r="B193" s="27">
        <v>45665</v>
      </c>
      <c r="C193" s="95">
        <v>320573.75</v>
      </c>
      <c r="D193" s="29">
        <v>0</v>
      </c>
      <c r="E193" s="30">
        <f t="shared" si="36"/>
        <v>320573.75</v>
      </c>
      <c r="F193" s="28">
        <v>30000</v>
      </c>
      <c r="G193" s="28">
        <f t="shared" si="37"/>
        <v>10.685791666666667</v>
      </c>
      <c r="H193" s="65">
        <f t="shared" si="40"/>
        <v>1.3405974891376182E-3</v>
      </c>
      <c r="I193" s="72">
        <f t="shared" si="38"/>
        <v>7.3568683128599766E-3</v>
      </c>
      <c r="J193" s="95">
        <v>156.41</v>
      </c>
      <c r="K193" s="65">
        <f t="shared" si="41"/>
        <v>0</v>
      </c>
      <c r="L193" s="72">
        <f t="shared" si="39"/>
        <v>5.8520900321543667E-3</v>
      </c>
    </row>
    <row r="194" spans="1:12" ht="15.75" hidden="1" thickBot="1" x14ac:dyDescent="0.3">
      <c r="A194">
        <v>1</v>
      </c>
      <c r="B194" s="27">
        <v>45666</v>
      </c>
      <c r="C194" s="95">
        <v>320573.75</v>
      </c>
      <c r="D194" s="29">
        <v>0</v>
      </c>
      <c r="E194" s="30">
        <f t="shared" si="36"/>
        <v>320573.75</v>
      </c>
      <c r="F194" s="28">
        <v>30000</v>
      </c>
      <c r="G194" s="28">
        <f t="shared" si="37"/>
        <v>10.685791666666667</v>
      </c>
      <c r="H194" s="65">
        <f t="shared" si="40"/>
        <v>0</v>
      </c>
      <c r="I194" s="72">
        <f t="shared" si="38"/>
        <v>7.3568683128599766E-3</v>
      </c>
      <c r="J194" s="95">
        <v>156.41</v>
      </c>
      <c r="K194" s="65">
        <f t="shared" si="41"/>
        <v>0</v>
      </c>
      <c r="L194" s="72">
        <f t="shared" si="39"/>
        <v>5.8520900321543667E-3</v>
      </c>
    </row>
    <row r="195" spans="1:12" ht="15.75" hidden="1" thickBot="1" x14ac:dyDescent="0.3">
      <c r="A195">
        <v>1</v>
      </c>
      <c r="B195" s="27">
        <v>45667</v>
      </c>
      <c r="C195" s="95">
        <v>317232.75999999995</v>
      </c>
      <c r="D195" s="29">
        <v>0</v>
      </c>
      <c r="E195" s="30">
        <f t="shared" si="36"/>
        <v>317232.75999999995</v>
      </c>
      <c r="F195" s="28">
        <v>30000</v>
      </c>
      <c r="G195" s="28">
        <f t="shared" si="37"/>
        <v>10.574425333333332</v>
      </c>
      <c r="H195" s="65">
        <f t="shared" si="40"/>
        <v>-1.0421907595366209E-2</v>
      </c>
      <c r="I195" s="72">
        <f t="shared" si="38"/>
        <v>-3.1417118842542724E-3</v>
      </c>
      <c r="J195" s="95">
        <v>153</v>
      </c>
      <c r="K195" s="65">
        <f t="shared" si="41"/>
        <v>-2.1801675084713201E-2</v>
      </c>
      <c r="L195" s="72">
        <f t="shared" si="39"/>
        <v>-1.6077170418006381E-2</v>
      </c>
    </row>
    <row r="196" spans="1:12" ht="15.75" hidden="1" thickBot="1" x14ac:dyDescent="0.3">
      <c r="A196">
        <v>1</v>
      </c>
      <c r="B196" s="27">
        <v>45668</v>
      </c>
      <c r="C196" s="95">
        <v>317232.75999999995</v>
      </c>
      <c r="D196" s="29">
        <v>0</v>
      </c>
      <c r="E196" s="30">
        <f t="shared" si="36"/>
        <v>317232.75999999995</v>
      </c>
      <c r="F196" s="28">
        <v>30000</v>
      </c>
      <c r="G196" s="28">
        <f t="shared" si="37"/>
        <v>10.574425333333332</v>
      </c>
      <c r="H196" s="65">
        <f t="shared" si="40"/>
        <v>0</v>
      </c>
      <c r="I196" s="72">
        <f t="shared" si="38"/>
        <v>-3.1417118842542724E-3</v>
      </c>
      <c r="J196" s="95">
        <v>153</v>
      </c>
      <c r="K196" s="65">
        <f t="shared" si="41"/>
        <v>0</v>
      </c>
      <c r="L196" s="72">
        <f t="shared" si="39"/>
        <v>-1.6077170418006381E-2</v>
      </c>
    </row>
    <row r="197" spans="1:12" ht="15.75" hidden="1" thickBot="1" x14ac:dyDescent="0.3">
      <c r="A197">
        <v>1</v>
      </c>
      <c r="B197" s="27">
        <v>45669</v>
      </c>
      <c r="C197" s="95">
        <v>317232.75999999995</v>
      </c>
      <c r="D197" s="29">
        <v>0</v>
      </c>
      <c r="E197" s="30">
        <f t="shared" si="36"/>
        <v>317232.75999999995</v>
      </c>
      <c r="F197" s="28">
        <v>30000</v>
      </c>
      <c r="G197" s="28">
        <f t="shared" si="37"/>
        <v>10.574425333333332</v>
      </c>
      <c r="H197" s="65">
        <f t="shared" si="40"/>
        <v>0</v>
      </c>
      <c r="I197" s="72">
        <f t="shared" si="38"/>
        <v>-3.1417118842542724E-3</v>
      </c>
      <c r="J197" s="95">
        <v>153</v>
      </c>
      <c r="K197" s="65">
        <f t="shared" si="41"/>
        <v>0</v>
      </c>
      <c r="L197" s="72">
        <f t="shared" si="39"/>
        <v>-1.6077170418006381E-2</v>
      </c>
    </row>
    <row r="198" spans="1:12" ht="15.75" hidden="1" thickBot="1" x14ac:dyDescent="0.3">
      <c r="A198">
        <v>1</v>
      </c>
      <c r="B198" s="27">
        <v>45670</v>
      </c>
      <c r="C198" s="95">
        <v>317295.62</v>
      </c>
      <c r="D198" s="29">
        <v>0</v>
      </c>
      <c r="E198" s="30">
        <f t="shared" si="36"/>
        <v>317295.62</v>
      </c>
      <c r="F198" s="28">
        <v>30000</v>
      </c>
      <c r="G198" s="28">
        <f t="shared" si="37"/>
        <v>10.576520666666667</v>
      </c>
      <c r="H198" s="65">
        <f t="shared" si="40"/>
        <v>1.9815103585152372E-4</v>
      </c>
      <c r="I198" s="72">
        <f t="shared" si="38"/>
        <v>-2.9441833818668606E-3</v>
      </c>
      <c r="J198" s="95">
        <v>154.22999999999999</v>
      </c>
      <c r="K198" s="65">
        <f t="shared" si="41"/>
        <v>8.0392156862745257E-3</v>
      </c>
      <c r="L198" s="72">
        <f t="shared" si="39"/>
        <v>-8.1672025723473762E-3</v>
      </c>
    </row>
    <row r="199" spans="1:12" ht="15.75" hidden="1" thickBot="1" x14ac:dyDescent="0.3">
      <c r="A199">
        <v>1</v>
      </c>
      <c r="B199" s="27">
        <v>45671</v>
      </c>
      <c r="C199" s="95">
        <v>318384.28000000003</v>
      </c>
      <c r="D199" s="29">
        <v>0</v>
      </c>
      <c r="E199" s="30">
        <f t="shared" si="36"/>
        <v>318384.28000000003</v>
      </c>
      <c r="F199" s="28">
        <v>30000</v>
      </c>
      <c r="G199" s="28">
        <f t="shared" si="37"/>
        <v>10.612809333333335</v>
      </c>
      <c r="H199" s="65">
        <f t="shared" si="40"/>
        <v>3.4310590231281246E-3</v>
      </c>
      <c r="I199" s="72">
        <f t="shared" si="38"/>
        <v>4.7677397430301305E-4</v>
      </c>
      <c r="J199" s="95">
        <v>154.43</v>
      </c>
      <c r="K199" s="65">
        <f t="shared" si="41"/>
        <v>1.2967645723920285E-3</v>
      </c>
      <c r="L199" s="72">
        <f t="shared" si="39"/>
        <v>-6.8810289389067414E-3</v>
      </c>
    </row>
    <row r="200" spans="1:12" ht="15.75" hidden="1" thickBot="1" x14ac:dyDescent="0.3">
      <c r="A200">
        <v>1</v>
      </c>
      <c r="B200" s="27">
        <v>45672</v>
      </c>
      <c r="C200" s="95">
        <v>322240.81</v>
      </c>
      <c r="D200" s="29">
        <v>0</v>
      </c>
      <c r="E200" s="30">
        <f t="shared" si="36"/>
        <v>322240.81</v>
      </c>
      <c r="F200" s="28">
        <v>30000</v>
      </c>
      <c r="G200" s="28">
        <f t="shared" si="37"/>
        <v>10.741360333333333</v>
      </c>
      <c r="H200" s="65">
        <f t="shared" si="40"/>
        <v>1.211281536889941E-2</v>
      </c>
      <c r="I200" s="72">
        <f t="shared" si="38"/>
        <v>1.2595364418325872E-2</v>
      </c>
      <c r="J200" s="95">
        <v>157.11000000000001</v>
      </c>
      <c r="K200" s="65">
        <f t="shared" si="41"/>
        <v>1.7354141034773063E-2</v>
      </c>
      <c r="L200" s="72">
        <f t="shared" si="39"/>
        <v>1.0353697749196256E-2</v>
      </c>
    </row>
    <row r="201" spans="1:12" ht="15.75" hidden="1" thickBot="1" x14ac:dyDescent="0.3">
      <c r="A201">
        <v>1</v>
      </c>
      <c r="B201" s="27">
        <v>45673</v>
      </c>
      <c r="C201" s="95">
        <v>323240.01</v>
      </c>
      <c r="D201" s="29">
        <v>0</v>
      </c>
      <c r="E201" s="30">
        <f t="shared" si="36"/>
        <v>323240.01</v>
      </c>
      <c r="F201" s="28">
        <v>30000</v>
      </c>
      <c r="G201" s="28">
        <f t="shared" si="37"/>
        <v>10.774667000000001</v>
      </c>
      <c r="H201" s="65">
        <f t="shared" si="40"/>
        <v>3.1007866446215449E-3</v>
      </c>
      <c r="I201" s="72">
        <f t="shared" si="38"/>
        <v>1.573520660071992E-2</v>
      </c>
      <c r="J201" s="95">
        <v>157.13999999999999</v>
      </c>
      <c r="K201" s="65">
        <f t="shared" si="41"/>
        <v>1.9094901661231845E-4</v>
      </c>
      <c r="L201" s="72">
        <f t="shared" si="39"/>
        <v>1.0546623794212229E-2</v>
      </c>
    </row>
    <row r="202" spans="1:12" ht="15.75" hidden="1" thickBot="1" x14ac:dyDescent="0.3">
      <c r="A202">
        <v>1</v>
      </c>
      <c r="B202" s="27">
        <v>45674</v>
      </c>
      <c r="C202" s="95">
        <v>325682.92000000004</v>
      </c>
      <c r="D202" s="29">
        <v>0</v>
      </c>
      <c r="E202" s="30">
        <f t="shared" si="36"/>
        <v>325682.92000000004</v>
      </c>
      <c r="F202" s="28">
        <v>30000</v>
      </c>
      <c r="G202" s="28">
        <f t="shared" si="37"/>
        <v>10.856097333333334</v>
      </c>
      <c r="H202" s="65">
        <f t="shared" si="40"/>
        <v>7.5575730863268742E-3</v>
      </c>
      <c r="I202" s="72">
        <f t="shared" si="38"/>
        <v>2.3411699660960128E-2</v>
      </c>
      <c r="J202" s="95">
        <v>158.4</v>
      </c>
      <c r="K202" s="65">
        <f t="shared" si="41"/>
        <v>8.0183276059566655E-3</v>
      </c>
      <c r="L202" s="72">
        <f t="shared" si="39"/>
        <v>1.864951768488754E-2</v>
      </c>
    </row>
    <row r="203" spans="1:12" ht="15.75" hidden="1" thickBot="1" x14ac:dyDescent="0.3">
      <c r="A203">
        <v>1</v>
      </c>
      <c r="B203" s="27">
        <v>45675</v>
      </c>
      <c r="C203" s="95">
        <v>325682.92000000004</v>
      </c>
      <c r="D203" s="29">
        <v>0</v>
      </c>
      <c r="E203" s="30">
        <f t="shared" si="36"/>
        <v>325682.92000000004</v>
      </c>
      <c r="F203" s="28">
        <v>30000</v>
      </c>
      <c r="G203" s="28">
        <f t="shared" si="37"/>
        <v>10.856097333333334</v>
      </c>
      <c r="H203" s="65">
        <f t="shared" si="40"/>
        <v>0</v>
      </c>
      <c r="I203" s="72">
        <f t="shared" si="38"/>
        <v>2.3411699660960128E-2</v>
      </c>
      <c r="J203" s="95">
        <v>158.4</v>
      </c>
      <c r="K203" s="65">
        <f t="shared" si="41"/>
        <v>0</v>
      </c>
      <c r="L203" s="72">
        <f t="shared" si="39"/>
        <v>1.864951768488754E-2</v>
      </c>
    </row>
    <row r="204" spans="1:12" ht="15.75" hidden="1" thickBot="1" x14ac:dyDescent="0.3">
      <c r="A204">
        <v>1</v>
      </c>
      <c r="B204" s="27">
        <v>45676</v>
      </c>
      <c r="C204" s="95">
        <v>325682.92000000004</v>
      </c>
      <c r="D204" s="29">
        <v>0</v>
      </c>
      <c r="E204" s="30">
        <f t="shared" si="36"/>
        <v>325682.92000000004</v>
      </c>
      <c r="F204" s="28">
        <v>30000</v>
      </c>
      <c r="G204" s="28">
        <f t="shared" si="37"/>
        <v>10.856097333333334</v>
      </c>
      <c r="H204" s="65">
        <f t="shared" si="40"/>
        <v>0</v>
      </c>
      <c r="I204" s="72">
        <f t="shared" si="38"/>
        <v>2.3411699660960128E-2</v>
      </c>
      <c r="J204" s="95">
        <v>158.4</v>
      </c>
      <c r="K204" s="65">
        <f t="shared" si="41"/>
        <v>0</v>
      </c>
      <c r="L204" s="72">
        <f t="shared" si="39"/>
        <v>1.864951768488754E-2</v>
      </c>
    </row>
    <row r="205" spans="1:12" ht="15.75" hidden="1" thickBot="1" x14ac:dyDescent="0.3">
      <c r="A205">
        <v>1</v>
      </c>
      <c r="B205" s="27">
        <v>45677</v>
      </c>
      <c r="C205" s="95">
        <v>325682.92000000004</v>
      </c>
      <c r="D205" s="29">
        <v>0</v>
      </c>
      <c r="E205" s="30">
        <f t="shared" si="36"/>
        <v>325682.92000000004</v>
      </c>
      <c r="F205" s="28">
        <v>30000</v>
      </c>
      <c r="G205" s="28">
        <f t="shared" si="37"/>
        <v>10.856097333333334</v>
      </c>
      <c r="H205" s="65">
        <f t="shared" si="40"/>
        <v>0</v>
      </c>
      <c r="I205" s="72">
        <f t="shared" si="38"/>
        <v>2.3411699660960128E-2</v>
      </c>
      <c r="J205" s="95">
        <v>158.4</v>
      </c>
      <c r="K205" s="65">
        <f t="shared" si="41"/>
        <v>0</v>
      </c>
      <c r="L205" s="72">
        <f t="shared" si="39"/>
        <v>1.864951768488754E-2</v>
      </c>
    </row>
    <row r="206" spans="1:12" ht="15.75" hidden="1" thickBot="1" x14ac:dyDescent="0.3">
      <c r="A206">
        <v>1</v>
      </c>
      <c r="B206" s="27">
        <v>45678</v>
      </c>
      <c r="C206" s="95">
        <v>328543.08999999997</v>
      </c>
      <c r="D206" s="29">
        <v>0</v>
      </c>
      <c r="E206" s="30">
        <f t="shared" si="36"/>
        <v>328543.08999999997</v>
      </c>
      <c r="F206" s="28">
        <v>30000</v>
      </c>
      <c r="G206" s="28">
        <f t="shared" si="37"/>
        <v>10.951436333333332</v>
      </c>
      <c r="H206" s="65">
        <f t="shared" si="40"/>
        <v>8.7820693820845896E-3</v>
      </c>
      <c r="I206" s="72">
        <f t="shared" si="38"/>
        <v>3.2399372213819833E-2</v>
      </c>
      <c r="J206" s="95">
        <v>160.27000000000001</v>
      </c>
      <c r="K206" s="65">
        <f t="shared" si="41"/>
        <v>1.1805555555555625E-2</v>
      </c>
      <c r="L206" s="72">
        <f t="shared" si="39"/>
        <v>3.0675241157556377E-2</v>
      </c>
    </row>
    <row r="207" spans="1:12" ht="15.75" hidden="1" thickBot="1" x14ac:dyDescent="0.3">
      <c r="A207">
        <v>1</v>
      </c>
      <c r="B207" s="27">
        <v>45679</v>
      </c>
      <c r="C207" s="95">
        <v>329692.08999999997</v>
      </c>
      <c r="D207" s="29">
        <v>0</v>
      </c>
      <c r="E207" s="30">
        <f t="shared" si="36"/>
        <v>329692.08999999997</v>
      </c>
      <c r="F207" s="28">
        <v>30000</v>
      </c>
      <c r="G207" s="28">
        <f t="shared" si="37"/>
        <v>10.989736333333333</v>
      </c>
      <c r="H207" s="65">
        <f t="shared" si="40"/>
        <v>3.4972581526522273E-3</v>
      </c>
      <c r="I207" s="72">
        <f t="shared" si="38"/>
        <v>3.6009939335087671E-2</v>
      </c>
      <c r="J207" s="95">
        <v>160.88999999999999</v>
      </c>
      <c r="K207" s="65">
        <f t="shared" si="41"/>
        <v>3.8684719535782008E-3</v>
      </c>
      <c r="L207" s="72">
        <f t="shared" si="39"/>
        <v>3.4662379421221745E-2</v>
      </c>
    </row>
    <row r="208" spans="1:12" ht="15.75" hidden="1" thickBot="1" x14ac:dyDescent="0.3">
      <c r="A208">
        <v>1</v>
      </c>
      <c r="B208" s="27">
        <v>45680</v>
      </c>
      <c r="C208" s="95">
        <v>330954.15000000002</v>
      </c>
      <c r="D208" s="29">
        <v>0</v>
      </c>
      <c r="E208" s="30">
        <f t="shared" si="36"/>
        <v>330954.15000000002</v>
      </c>
      <c r="F208" s="28">
        <v>30000</v>
      </c>
      <c r="G208" s="28">
        <f t="shared" si="37"/>
        <v>11.031805</v>
      </c>
      <c r="H208" s="65">
        <f t="shared" si="40"/>
        <v>3.8279959946871944E-3</v>
      </c>
      <c r="I208" s="72">
        <f t="shared" si="38"/>
        <v>3.9975781233318353E-2</v>
      </c>
      <c r="J208" s="95">
        <v>161.87</v>
      </c>
      <c r="K208" s="65">
        <f t="shared" si="41"/>
        <v>6.0911181552614213E-3</v>
      </c>
      <c r="L208" s="72">
        <f t="shared" si="39"/>
        <v>4.0964630225080345E-2</v>
      </c>
    </row>
    <row r="209" spans="1:12" ht="15.75" hidden="1" thickBot="1" x14ac:dyDescent="0.3">
      <c r="A209">
        <v>1</v>
      </c>
      <c r="B209" s="27">
        <v>45681</v>
      </c>
      <c r="C209" s="95">
        <v>330470.93</v>
      </c>
      <c r="D209" s="29">
        <v>0</v>
      </c>
      <c r="E209" s="30">
        <f t="shared" si="36"/>
        <v>330470.93</v>
      </c>
      <c r="F209" s="28">
        <v>30000</v>
      </c>
      <c r="G209" s="28">
        <f t="shared" si="37"/>
        <v>11.015697666666666</v>
      </c>
      <c r="H209" s="65">
        <f t="shared" si="40"/>
        <v>-1.4600814040254262E-3</v>
      </c>
      <c r="I209" s="72">
        <f t="shared" si="38"/>
        <v>3.8457331934502736E-2</v>
      </c>
      <c r="J209" s="95">
        <v>161.74</v>
      </c>
      <c r="K209" s="65">
        <f t="shared" si="41"/>
        <v>-8.0311360968676748E-4</v>
      </c>
      <c r="L209" s="72">
        <f t="shared" si="39"/>
        <v>4.0128617363344166E-2</v>
      </c>
    </row>
    <row r="210" spans="1:12" ht="15.75" hidden="1" thickBot="1" x14ac:dyDescent="0.3">
      <c r="A210">
        <v>1</v>
      </c>
      <c r="B210" s="27">
        <v>45682</v>
      </c>
      <c r="C210" s="95">
        <v>330470.93</v>
      </c>
      <c r="D210" s="29">
        <v>0</v>
      </c>
      <c r="E210" s="30">
        <f t="shared" si="36"/>
        <v>330470.93</v>
      </c>
      <c r="F210" s="28">
        <v>30000</v>
      </c>
      <c r="G210" s="28">
        <f t="shared" si="37"/>
        <v>11.015697666666666</v>
      </c>
      <c r="H210" s="65">
        <f t="shared" si="40"/>
        <v>0</v>
      </c>
      <c r="I210" s="72">
        <f t="shared" si="38"/>
        <v>3.8457331934502736E-2</v>
      </c>
      <c r="J210" s="95">
        <v>161.74</v>
      </c>
      <c r="K210" s="65">
        <f t="shared" si="41"/>
        <v>0</v>
      </c>
      <c r="L210" s="72">
        <f t="shared" si="39"/>
        <v>4.0128617363344166E-2</v>
      </c>
    </row>
    <row r="211" spans="1:12" ht="15.75" hidden="1" thickBot="1" x14ac:dyDescent="0.3">
      <c r="A211">
        <v>1</v>
      </c>
      <c r="B211" s="27">
        <v>45683</v>
      </c>
      <c r="C211" s="95">
        <v>330470.93</v>
      </c>
      <c r="D211" s="29">
        <v>0</v>
      </c>
      <c r="E211" s="30">
        <f t="shared" si="36"/>
        <v>330470.93</v>
      </c>
      <c r="F211" s="28">
        <v>30000</v>
      </c>
      <c r="G211" s="28">
        <f t="shared" si="37"/>
        <v>11.015697666666666</v>
      </c>
      <c r="H211" s="65">
        <f t="shared" si="40"/>
        <v>0</v>
      </c>
      <c r="I211" s="72">
        <f t="shared" si="38"/>
        <v>3.8457331934502736E-2</v>
      </c>
      <c r="J211" s="95">
        <v>161.74</v>
      </c>
      <c r="K211" s="65">
        <f t="shared" si="41"/>
        <v>0</v>
      </c>
      <c r="L211" s="72">
        <f t="shared" si="39"/>
        <v>4.0128617363344166E-2</v>
      </c>
    </row>
    <row r="212" spans="1:12" ht="15.75" hidden="1" thickBot="1" x14ac:dyDescent="0.3">
      <c r="A212">
        <v>1</v>
      </c>
      <c r="B212" s="27">
        <v>45684</v>
      </c>
      <c r="C212" s="95">
        <v>325678.22000000003</v>
      </c>
      <c r="D212" s="29">
        <v>0</v>
      </c>
      <c r="E212" s="30">
        <f t="shared" si="36"/>
        <v>325678.22000000003</v>
      </c>
      <c r="F212" s="28">
        <v>30000</v>
      </c>
      <c r="G212" s="28">
        <f t="shared" si="37"/>
        <v>10.855940666666667</v>
      </c>
      <c r="H212" s="65">
        <f t="shared" si="40"/>
        <v>-1.4502667450961515E-2</v>
      </c>
      <c r="I212" s="72">
        <f t="shared" si="38"/>
        <v>2.3396930587443965E-2</v>
      </c>
      <c r="J212" s="95">
        <v>159.97999999999999</v>
      </c>
      <c r="K212" s="65">
        <f t="shared" si="41"/>
        <v>-1.0881661926548936E-2</v>
      </c>
      <c r="L212" s="72">
        <f t="shared" si="39"/>
        <v>2.8810289389067378E-2</v>
      </c>
    </row>
    <row r="213" spans="1:12" ht="15.75" hidden="1" thickBot="1" x14ac:dyDescent="0.3">
      <c r="A213">
        <v>1</v>
      </c>
      <c r="B213" s="27">
        <v>45685</v>
      </c>
      <c r="C213" s="95">
        <v>329916.32</v>
      </c>
      <c r="D213" s="29">
        <v>0</v>
      </c>
      <c r="E213" s="30">
        <f t="shared" si="36"/>
        <v>329916.32</v>
      </c>
      <c r="F213" s="28">
        <v>30000</v>
      </c>
      <c r="G213" s="28">
        <f t="shared" si="37"/>
        <v>10.997210666666668</v>
      </c>
      <c r="H213" s="65">
        <f t="shared" si="40"/>
        <v>1.3013151447462512E-2</v>
      </c>
      <c r="I213" s="72">
        <f t="shared" si="38"/>
        <v>3.6714549836046606E-2</v>
      </c>
      <c r="J213" s="95">
        <v>160.93</v>
      </c>
      <c r="K213" s="65">
        <f t="shared" si="41"/>
        <v>5.9382422802851664E-3</v>
      </c>
      <c r="L213" s="72">
        <f t="shared" si="39"/>
        <v>3.4919614147910005E-2</v>
      </c>
    </row>
    <row r="214" spans="1:12" ht="15.75" hidden="1" thickBot="1" x14ac:dyDescent="0.3">
      <c r="A214">
        <v>1</v>
      </c>
      <c r="B214" s="27">
        <v>45686</v>
      </c>
      <c r="C214" s="95">
        <v>327826.13999999996</v>
      </c>
      <c r="D214" s="29">
        <v>0</v>
      </c>
      <c r="E214" s="30">
        <f t="shared" si="36"/>
        <v>327826.13999999996</v>
      </c>
      <c r="F214" s="28">
        <v>30000</v>
      </c>
      <c r="G214" s="28">
        <f t="shared" si="37"/>
        <v>10.927537999999998</v>
      </c>
      <c r="H214" s="65">
        <f t="shared" si="40"/>
        <v>-6.3354853133669176E-3</v>
      </c>
      <c r="I214" s="72">
        <f t="shared" si="38"/>
        <v>3.014646003140653E-2</v>
      </c>
      <c r="J214" s="95">
        <v>160.41</v>
      </c>
      <c r="K214" s="65">
        <f t="shared" si="41"/>
        <v>-3.231218542223413E-3</v>
      </c>
      <c r="L214" s="72">
        <f t="shared" si="39"/>
        <v>3.1575562700964621E-2</v>
      </c>
    </row>
    <row r="215" spans="1:12" ht="15.75" hidden="1" thickBot="1" x14ac:dyDescent="0.3">
      <c r="A215">
        <v>1</v>
      </c>
      <c r="B215" s="27">
        <v>45687</v>
      </c>
      <c r="C215" s="95">
        <v>330343.63000000006</v>
      </c>
      <c r="D215" s="29">
        <v>0</v>
      </c>
      <c r="E215" s="30">
        <f t="shared" si="36"/>
        <v>330343.63000000006</v>
      </c>
      <c r="F215" s="28">
        <v>30000</v>
      </c>
      <c r="G215" s="28">
        <f t="shared" si="37"/>
        <v>11.011454333333335</v>
      </c>
      <c r="H215" s="65">
        <f t="shared" si="40"/>
        <v>7.6793449112999568E-3</v>
      </c>
      <c r="I215" s="72">
        <f t="shared" si="38"/>
        <v>3.8057310007142409E-2</v>
      </c>
      <c r="J215" s="95">
        <v>161.55000000000001</v>
      </c>
      <c r="K215" s="65">
        <f t="shared" si="41"/>
        <v>7.106788853562751E-3</v>
      </c>
      <c r="L215" s="72">
        <f t="shared" si="39"/>
        <v>3.8906752411575596E-2</v>
      </c>
    </row>
    <row r="216" spans="1:12" ht="15.75" hidden="1" thickBot="1" x14ac:dyDescent="0.3">
      <c r="A216">
        <v>1</v>
      </c>
      <c r="B216" s="27">
        <v>45688</v>
      </c>
      <c r="C216" s="95">
        <v>327524.40000000008</v>
      </c>
      <c r="D216" s="29">
        <v>0</v>
      </c>
      <c r="E216" s="30">
        <f t="shared" si="36"/>
        <v>327524.40000000008</v>
      </c>
      <c r="F216" s="28">
        <v>30000</v>
      </c>
      <c r="G216" s="28">
        <f t="shared" si="37"/>
        <v>10.917480000000003</v>
      </c>
      <c r="H216" s="65">
        <f t="shared" si="40"/>
        <v>-8.5342344878874821E-3</v>
      </c>
      <c r="I216" s="72">
        <f t="shared" si="38"/>
        <v>2.9198285511675692E-2</v>
      </c>
      <c r="J216" s="95">
        <v>160.66</v>
      </c>
      <c r="K216" s="65">
        <f t="shared" si="41"/>
        <v>-5.5091303002167136E-3</v>
      </c>
      <c r="L216" s="72">
        <f t="shared" si="39"/>
        <v>3.3183279742765359E-2</v>
      </c>
    </row>
    <row r="217" spans="1:12" ht="15.75" hidden="1" thickBot="1" x14ac:dyDescent="0.3">
      <c r="A217">
        <v>1</v>
      </c>
      <c r="B217" s="27">
        <v>45689</v>
      </c>
      <c r="C217" s="95">
        <v>327524.40000000008</v>
      </c>
      <c r="D217" s="29">
        <v>0</v>
      </c>
      <c r="E217" s="30">
        <f t="shared" si="36"/>
        <v>327524.40000000008</v>
      </c>
      <c r="F217" s="28">
        <v>30000</v>
      </c>
      <c r="G217" s="28">
        <f t="shared" si="37"/>
        <v>10.917480000000003</v>
      </c>
      <c r="H217" s="65">
        <f t="shared" si="40"/>
        <v>0</v>
      </c>
      <c r="I217" s="72">
        <f t="shared" si="38"/>
        <v>2.9198285511675692E-2</v>
      </c>
      <c r="J217" s="95">
        <v>160.66</v>
      </c>
      <c r="K217" s="65">
        <f t="shared" si="41"/>
        <v>0</v>
      </c>
      <c r="L217" s="72">
        <f t="shared" si="39"/>
        <v>3.3183279742765359E-2</v>
      </c>
    </row>
    <row r="218" spans="1:12" ht="15.75" hidden="1" thickBot="1" x14ac:dyDescent="0.3">
      <c r="A218">
        <v>1</v>
      </c>
      <c r="B218" s="27">
        <v>45690</v>
      </c>
      <c r="C218" s="95">
        <v>327524.40000000008</v>
      </c>
      <c r="D218" s="29">
        <v>0</v>
      </c>
      <c r="E218" s="30">
        <f t="shared" si="36"/>
        <v>327524.40000000008</v>
      </c>
      <c r="F218" s="28">
        <v>30000</v>
      </c>
      <c r="G218" s="28">
        <f t="shared" si="37"/>
        <v>10.917480000000003</v>
      </c>
      <c r="H218" s="65">
        <f t="shared" si="40"/>
        <v>0</v>
      </c>
      <c r="I218" s="72">
        <f t="shared" si="38"/>
        <v>2.9198285511675692E-2</v>
      </c>
      <c r="J218" s="95">
        <v>160.66</v>
      </c>
      <c r="K218" s="65">
        <f t="shared" si="41"/>
        <v>0</v>
      </c>
      <c r="L218" s="72">
        <f t="shared" si="39"/>
        <v>3.3183279742765359E-2</v>
      </c>
    </row>
    <row r="219" spans="1:12" ht="15.75" hidden="1" thickBot="1" x14ac:dyDescent="0.3">
      <c r="A219">
        <v>1</v>
      </c>
      <c r="B219" s="27">
        <v>45691</v>
      </c>
      <c r="C219" s="95">
        <v>425069.11000000004</v>
      </c>
      <c r="D219" s="29">
        <v>0</v>
      </c>
      <c r="E219" s="30">
        <f t="shared" si="36"/>
        <v>425069.11000000004</v>
      </c>
      <c r="F219" s="28">
        <v>39157</v>
      </c>
      <c r="G219" s="28">
        <f t="shared" si="37"/>
        <v>10.855507572081621</v>
      </c>
      <c r="H219" s="65">
        <f t="shared" si="40"/>
        <v>-5.6764407096127067E-3</v>
      </c>
      <c r="I219" s="72">
        <f t="shared" si="38"/>
        <v>2.3356102465533546E-2</v>
      </c>
      <c r="J219" s="95">
        <v>159.37</v>
      </c>
      <c r="K219" s="65">
        <f t="shared" si="41"/>
        <v>-8.0293788123988463E-3</v>
      </c>
      <c r="L219" s="72">
        <f t="shared" si="39"/>
        <v>2.4887459807074075E-2</v>
      </c>
    </row>
    <row r="220" spans="1:12" ht="15.75" hidden="1" thickBot="1" x14ac:dyDescent="0.3">
      <c r="A220">
        <v>1</v>
      </c>
      <c r="B220" s="27">
        <v>45692</v>
      </c>
      <c r="C220" s="30">
        <v>427159.46007300005</v>
      </c>
      <c r="D220" s="29">
        <v>0</v>
      </c>
      <c r="E220" s="30">
        <f t="shared" si="36"/>
        <v>427159.46007300005</v>
      </c>
      <c r="F220" s="28">
        <v>39157</v>
      </c>
      <c r="G220" s="28">
        <f t="shared" si="37"/>
        <v>10.908891387823379</v>
      </c>
      <c r="H220" s="65">
        <f t="shared" si="40"/>
        <v>4.9176710888261255E-3</v>
      </c>
      <c r="I220" s="72">
        <f t="shared" si="38"/>
        <v>2.8388631184202096E-2</v>
      </c>
      <c r="J220" s="95">
        <v>160.63999999999999</v>
      </c>
      <c r="K220" s="65">
        <f t="shared" si="41"/>
        <v>7.9688774549788732E-3</v>
      </c>
      <c r="L220" s="72">
        <f t="shared" si="39"/>
        <v>3.3054662379421229E-2</v>
      </c>
    </row>
    <row r="221" spans="1:12" ht="15.75" hidden="1" thickBot="1" x14ac:dyDescent="0.3">
      <c r="A221">
        <v>1</v>
      </c>
      <c r="B221" s="27">
        <v>45693</v>
      </c>
      <c r="C221" s="95">
        <v>431311.12025500007</v>
      </c>
      <c r="D221" s="29">
        <v>0</v>
      </c>
      <c r="E221" s="30">
        <f t="shared" si="36"/>
        <v>431311.12025500007</v>
      </c>
      <c r="F221" s="28">
        <v>39157</v>
      </c>
      <c r="G221" s="28">
        <f t="shared" si="37"/>
        <v>11.014917390377201</v>
      </c>
      <c r="H221" s="65">
        <f t="shared" si="40"/>
        <v>9.7192279934301684E-3</v>
      </c>
      <c r="I221" s="72">
        <f t="shared" si="38"/>
        <v>3.8383774756532985E-2</v>
      </c>
      <c r="J221" s="95">
        <v>161.55000000000001</v>
      </c>
      <c r="K221" s="65">
        <f t="shared" si="41"/>
        <v>5.6648406374504301E-3</v>
      </c>
      <c r="L221" s="72">
        <f t="shared" si="39"/>
        <v>3.8906752411575596E-2</v>
      </c>
    </row>
    <row r="222" spans="1:12" ht="15.75" hidden="1" thickBot="1" x14ac:dyDescent="0.3">
      <c r="A222">
        <v>1</v>
      </c>
      <c r="B222" s="27">
        <v>45694</v>
      </c>
      <c r="C222" s="95">
        <v>432336.593635</v>
      </c>
      <c r="D222" s="29">
        <v>0</v>
      </c>
      <c r="E222" s="30">
        <f t="shared" si="36"/>
        <v>432336.593635</v>
      </c>
      <c r="F222" s="28">
        <v>39157</v>
      </c>
      <c r="G222" s="28">
        <f t="shared" si="37"/>
        <v>11.04110615305054</v>
      </c>
      <c r="H222" s="65">
        <f t="shared" si="40"/>
        <v>2.377572318083665E-3</v>
      </c>
      <c r="I222" s="72">
        <f t="shared" si="38"/>
        <v>4.0852607274941333E-2</v>
      </c>
      <c r="J222" s="95">
        <v>162.06</v>
      </c>
      <c r="K222" s="65">
        <f t="shared" si="41"/>
        <v>3.1569173630454639E-3</v>
      </c>
      <c r="L222" s="72">
        <f t="shared" si="39"/>
        <v>4.2186495176848915E-2</v>
      </c>
    </row>
    <row r="223" spans="1:12" ht="15.75" hidden="1" thickBot="1" x14ac:dyDescent="0.3">
      <c r="A223">
        <v>1</v>
      </c>
      <c r="B223" s="27">
        <v>45695</v>
      </c>
      <c r="C223" s="95">
        <v>431413.48500000004</v>
      </c>
      <c r="D223" s="29">
        <v>0</v>
      </c>
      <c r="E223" s="30">
        <f t="shared" si="36"/>
        <v>431413.48500000004</v>
      </c>
      <c r="F223" s="28">
        <v>39157</v>
      </c>
      <c r="G223" s="28">
        <f t="shared" si="37"/>
        <v>11.017531603544706</v>
      </c>
      <c r="H223" s="65">
        <f t="shared" si="40"/>
        <v>-2.1351619284378787E-3</v>
      </c>
      <c r="I223" s="72">
        <f t="shared" si="38"/>
        <v>3.8630218414772433E-2</v>
      </c>
      <c r="J223" s="95">
        <v>160.6</v>
      </c>
      <c r="K223" s="65">
        <f t="shared" si="41"/>
        <v>-9.009009009009028E-3</v>
      </c>
      <c r="L223" s="72">
        <f t="shared" si="39"/>
        <v>3.2797427652733191E-2</v>
      </c>
    </row>
    <row r="224" spans="1:12" ht="15.75" hidden="1" thickBot="1" x14ac:dyDescent="0.3">
      <c r="A224">
        <v>1</v>
      </c>
      <c r="B224" s="27">
        <v>45696</v>
      </c>
      <c r="C224" s="95">
        <v>431413.48500000004</v>
      </c>
      <c r="D224" s="29">
        <v>0</v>
      </c>
      <c r="E224" s="30">
        <f t="shared" si="36"/>
        <v>431413.48500000004</v>
      </c>
      <c r="F224" s="28">
        <v>39157</v>
      </c>
      <c r="G224" s="28">
        <f t="shared" si="37"/>
        <v>11.017531603544706</v>
      </c>
      <c r="H224" s="65">
        <f t="shared" si="40"/>
        <v>0</v>
      </c>
      <c r="I224" s="72">
        <f t="shared" si="38"/>
        <v>3.8630218414772433E-2</v>
      </c>
      <c r="J224" s="95">
        <v>160.6</v>
      </c>
      <c r="K224" s="65">
        <f t="shared" si="41"/>
        <v>0</v>
      </c>
      <c r="L224" s="72">
        <f t="shared" si="39"/>
        <v>3.2797427652733191E-2</v>
      </c>
    </row>
    <row r="225" spans="1:12" ht="15.75" hidden="1" thickBot="1" x14ac:dyDescent="0.3">
      <c r="A225">
        <v>1</v>
      </c>
      <c r="B225" s="27">
        <v>45697</v>
      </c>
      <c r="C225" s="95">
        <v>431413.48500000004</v>
      </c>
      <c r="D225" s="29">
        <v>0</v>
      </c>
      <c r="E225" s="30">
        <f t="shared" si="36"/>
        <v>431413.48500000004</v>
      </c>
      <c r="F225" s="28">
        <v>39157</v>
      </c>
      <c r="G225" s="28">
        <f t="shared" si="37"/>
        <v>11.017531603544706</v>
      </c>
      <c r="H225" s="65">
        <f t="shared" si="40"/>
        <v>0</v>
      </c>
      <c r="I225" s="72">
        <f t="shared" si="38"/>
        <v>3.8630218414772433E-2</v>
      </c>
      <c r="J225" s="95">
        <v>160.6</v>
      </c>
      <c r="K225" s="65">
        <f t="shared" si="41"/>
        <v>0</v>
      </c>
      <c r="L225" s="72">
        <f t="shared" si="39"/>
        <v>3.2797427652733191E-2</v>
      </c>
    </row>
    <row r="226" spans="1:12" ht="15.75" hidden="1" thickBot="1" x14ac:dyDescent="0.3">
      <c r="A226">
        <v>1</v>
      </c>
      <c r="B226" s="27">
        <v>45698</v>
      </c>
      <c r="C226" s="95">
        <v>434092.37</v>
      </c>
      <c r="D226" s="29">
        <v>0</v>
      </c>
      <c r="E226" s="30">
        <f t="shared" si="36"/>
        <v>434092.37</v>
      </c>
      <c r="F226" s="28">
        <v>39157</v>
      </c>
      <c r="G226" s="28">
        <f t="shared" si="37"/>
        <v>11.085945552519345</v>
      </c>
      <c r="H226" s="65">
        <f t="shared" si="40"/>
        <v>6.2095532317445468E-3</v>
      </c>
      <c r="I226" s="72">
        <f t="shared" si="38"/>
        <v>4.5079648044117571E-2</v>
      </c>
      <c r="J226" s="95">
        <v>161.68</v>
      </c>
      <c r="K226" s="65">
        <f t="shared" si="41"/>
        <v>6.7247820672478031E-3</v>
      </c>
      <c r="L226" s="72">
        <f t="shared" si="39"/>
        <v>3.9742765273311997E-2</v>
      </c>
    </row>
    <row r="227" spans="1:12" ht="15.75" hidden="1" thickBot="1" x14ac:dyDescent="0.3">
      <c r="A227">
        <v>1</v>
      </c>
      <c r="B227" s="27">
        <v>45699</v>
      </c>
      <c r="C227" s="95">
        <v>433493.52</v>
      </c>
      <c r="D227" s="29">
        <v>0</v>
      </c>
      <c r="E227" s="30">
        <f t="shared" si="36"/>
        <v>433493.52</v>
      </c>
      <c r="F227" s="28">
        <v>39157</v>
      </c>
      <c r="G227" s="28">
        <f t="shared" si="37"/>
        <v>11.070651990704089</v>
      </c>
      <c r="H227" s="65">
        <f t="shared" si="40"/>
        <v>-1.3795450954365851E-3</v>
      </c>
      <c r="I227" s="72">
        <f t="shared" si="38"/>
        <v>4.363791354131763E-2</v>
      </c>
      <c r="J227" s="95">
        <v>161.97</v>
      </c>
      <c r="K227" s="65">
        <f t="shared" si="41"/>
        <v>1.7936665017317388E-3</v>
      </c>
      <c r="L227" s="72">
        <f t="shared" si="39"/>
        <v>4.1607717041800552E-2</v>
      </c>
    </row>
    <row r="228" spans="1:12" ht="15.75" hidden="1" thickBot="1" x14ac:dyDescent="0.3">
      <c r="A228">
        <v>1</v>
      </c>
      <c r="B228" s="27">
        <v>45700</v>
      </c>
      <c r="C228" s="95">
        <v>432809.67000000004</v>
      </c>
      <c r="D228" s="29">
        <v>0</v>
      </c>
      <c r="E228" s="30">
        <f t="shared" si="36"/>
        <v>432809.67000000004</v>
      </c>
      <c r="F228" s="28">
        <v>39157</v>
      </c>
      <c r="G228" s="28">
        <f t="shared" si="37"/>
        <v>11.053187680363665</v>
      </c>
      <c r="H228" s="65">
        <f t="shared" si="40"/>
        <v>-1.5775322316236018E-3</v>
      </c>
      <c r="I228" s="72">
        <f t="shared" si="38"/>
        <v>4.1991541094561713E-2</v>
      </c>
      <c r="J228" s="95">
        <v>161.83000000000001</v>
      </c>
      <c r="K228" s="65">
        <f t="shared" si="41"/>
        <v>-8.6435759708580751E-4</v>
      </c>
      <c r="L228" s="72">
        <f t="shared" si="39"/>
        <v>4.0707395498392307E-2</v>
      </c>
    </row>
    <row r="229" spans="1:12" ht="15.75" hidden="1" thickBot="1" x14ac:dyDescent="0.3">
      <c r="A229">
        <v>1</v>
      </c>
      <c r="B229" s="27">
        <v>45701</v>
      </c>
      <c r="C229" s="95">
        <v>437608.03</v>
      </c>
      <c r="D229" s="29">
        <v>0</v>
      </c>
      <c r="E229" s="30">
        <f t="shared" si="36"/>
        <v>437608.03</v>
      </c>
      <c r="F229" s="28">
        <v>39157</v>
      </c>
      <c r="G229" s="28">
        <f t="shared" si="37"/>
        <v>11.175729243813368</v>
      </c>
      <c r="H229" s="65">
        <f t="shared" si="40"/>
        <v>1.1086536028642735E-2</v>
      </c>
      <c r="I229" s="72">
        <f t="shared" si="38"/>
        <v>5.3543617856447678E-2</v>
      </c>
      <c r="J229" s="95">
        <v>163.55000000000001</v>
      </c>
      <c r="K229" s="65">
        <f t="shared" si="41"/>
        <v>1.0628437248964895E-2</v>
      </c>
      <c r="L229" s="72">
        <f t="shared" si="39"/>
        <v>5.1768488745980834E-2</v>
      </c>
    </row>
    <row r="230" spans="1:12" ht="15.75" hidden="1" thickBot="1" x14ac:dyDescent="0.3">
      <c r="A230">
        <v>1</v>
      </c>
      <c r="B230" s="27">
        <v>45702</v>
      </c>
      <c r="C230" s="95">
        <v>439495.12000000011</v>
      </c>
      <c r="D230" s="29">
        <v>0</v>
      </c>
      <c r="E230" s="30">
        <f t="shared" si="36"/>
        <v>439495.12000000011</v>
      </c>
      <c r="F230" s="28">
        <v>39157</v>
      </c>
      <c r="G230" s="28">
        <f t="shared" si="37"/>
        <v>11.223922159511712</v>
      </c>
      <c r="H230" s="65">
        <f t="shared" si="40"/>
        <v>4.3122837576816675E-3</v>
      </c>
      <c r="I230" s="72">
        <f t="shared" si="38"/>
        <v>5.8086796887739212E-2</v>
      </c>
      <c r="J230" s="95">
        <v>163.56</v>
      </c>
      <c r="K230" s="65">
        <f t="shared" si="41"/>
        <v>6.1143381228978555E-5</v>
      </c>
      <c r="L230" s="72">
        <f t="shared" si="39"/>
        <v>5.1832797427652677E-2</v>
      </c>
    </row>
    <row r="231" spans="1:12" ht="15.75" hidden="1" thickBot="1" x14ac:dyDescent="0.3">
      <c r="A231">
        <v>1</v>
      </c>
      <c r="B231" s="27">
        <v>45703</v>
      </c>
      <c r="C231" s="95">
        <v>439495.12000000011</v>
      </c>
      <c r="D231" s="29">
        <v>0</v>
      </c>
      <c r="E231" s="30">
        <f t="shared" si="36"/>
        <v>439495.12000000011</v>
      </c>
      <c r="F231" s="28">
        <v>39157</v>
      </c>
      <c r="G231" s="28">
        <f t="shared" si="37"/>
        <v>11.223922159511712</v>
      </c>
      <c r="H231" s="65">
        <f t="shared" si="40"/>
        <v>0</v>
      </c>
      <c r="I231" s="72">
        <f t="shared" si="38"/>
        <v>5.8086796887739212E-2</v>
      </c>
      <c r="J231" s="95">
        <v>163.56</v>
      </c>
      <c r="K231" s="65">
        <f t="shared" si="41"/>
        <v>0</v>
      </c>
      <c r="L231" s="72">
        <f t="shared" si="39"/>
        <v>5.1832797427652677E-2</v>
      </c>
    </row>
    <row r="232" spans="1:12" ht="15.75" hidden="1" thickBot="1" x14ac:dyDescent="0.3">
      <c r="A232">
        <v>1</v>
      </c>
      <c r="B232" s="27">
        <v>45704</v>
      </c>
      <c r="C232" s="95">
        <v>439495.12000000011</v>
      </c>
      <c r="D232" s="29">
        <v>0</v>
      </c>
      <c r="E232" s="30">
        <f t="shared" si="36"/>
        <v>439495.12000000011</v>
      </c>
      <c r="F232" s="28">
        <v>39157</v>
      </c>
      <c r="G232" s="28">
        <f t="shared" si="37"/>
        <v>11.223922159511712</v>
      </c>
      <c r="H232" s="65">
        <f t="shared" si="40"/>
        <v>0</v>
      </c>
      <c r="I232" s="72">
        <f t="shared" si="38"/>
        <v>5.8086796887739212E-2</v>
      </c>
      <c r="J232" s="95">
        <v>163.56</v>
      </c>
      <c r="K232" s="65">
        <f t="shared" si="41"/>
        <v>0</v>
      </c>
      <c r="L232" s="72">
        <f t="shared" si="39"/>
        <v>5.1832797427652677E-2</v>
      </c>
    </row>
    <row r="233" spans="1:12" ht="15.75" hidden="1" thickBot="1" x14ac:dyDescent="0.3">
      <c r="A233">
        <v>1</v>
      </c>
      <c r="B233" s="27">
        <v>45705</v>
      </c>
      <c r="C233" s="95">
        <v>439495.12000000011</v>
      </c>
      <c r="D233" s="29">
        <v>0</v>
      </c>
      <c r="E233" s="30">
        <f t="shared" si="36"/>
        <v>439495.12000000011</v>
      </c>
      <c r="F233" s="28">
        <v>39157</v>
      </c>
      <c r="G233" s="28">
        <f t="shared" si="37"/>
        <v>11.223922159511712</v>
      </c>
      <c r="H233" s="65">
        <f t="shared" si="40"/>
        <v>0</v>
      </c>
      <c r="I233" s="72">
        <f t="shared" si="38"/>
        <v>5.8086796887739212E-2</v>
      </c>
      <c r="J233" s="95">
        <v>163.56</v>
      </c>
      <c r="K233" s="65">
        <f t="shared" si="41"/>
        <v>0</v>
      </c>
      <c r="L233" s="72">
        <f t="shared" si="39"/>
        <v>5.1832797427652677E-2</v>
      </c>
    </row>
    <row r="234" spans="1:12" ht="15.75" hidden="1" thickBot="1" x14ac:dyDescent="0.3">
      <c r="A234">
        <v>1</v>
      </c>
      <c r="B234" s="27">
        <v>45706</v>
      </c>
      <c r="C234" s="95">
        <v>439797.46000000008</v>
      </c>
      <c r="D234" s="29">
        <v>0</v>
      </c>
      <c r="E234" s="30">
        <f t="shared" si="36"/>
        <v>439797.46000000008</v>
      </c>
      <c r="F234" s="28">
        <v>39157</v>
      </c>
      <c r="G234" s="28">
        <f t="shared" si="37"/>
        <v>11.231643384324643</v>
      </c>
      <c r="H234" s="65">
        <f t="shared" si="40"/>
        <v>6.8792572713882727E-4</v>
      </c>
      <c r="I234" s="72">
        <f t="shared" si="38"/>
        <v>5.8814682016864239E-2</v>
      </c>
      <c r="J234" s="95">
        <v>164.14</v>
      </c>
      <c r="K234" s="65">
        <f t="shared" si="41"/>
        <v>3.5460992907800915E-3</v>
      </c>
      <c r="L234" s="72">
        <f t="shared" si="39"/>
        <v>5.5562700964630229E-2</v>
      </c>
    </row>
    <row r="235" spans="1:12" ht="15.75" hidden="1" thickBot="1" x14ac:dyDescent="0.3">
      <c r="A235">
        <v>1</v>
      </c>
      <c r="B235" s="27">
        <v>45707</v>
      </c>
      <c r="C235" s="95">
        <v>437034.74933074869</v>
      </c>
      <c r="D235" s="29">
        <v>0</v>
      </c>
      <c r="E235" s="30">
        <f t="shared" si="36"/>
        <v>437034.74933074869</v>
      </c>
      <c r="F235" s="28">
        <v>39157</v>
      </c>
      <c r="G235" s="28">
        <f t="shared" si="37"/>
        <v>11.16108867713943</v>
      </c>
      <c r="H235" s="65">
        <f t="shared" si="40"/>
        <v>-6.2817795019811662E-3</v>
      </c>
      <c r="I235" s="72">
        <f t="shared" si="38"/>
        <v>5.2163441650973974E-2</v>
      </c>
      <c r="J235" s="95">
        <v>164.03</v>
      </c>
      <c r="K235" s="65">
        <f t="shared" si="41"/>
        <v>-6.7015961983662997E-4</v>
      </c>
      <c r="L235" s="72">
        <f t="shared" si="39"/>
        <v>5.4855305466237958E-2</v>
      </c>
    </row>
    <row r="236" spans="1:12" ht="15.75" hidden="1" thickBot="1" x14ac:dyDescent="0.3">
      <c r="A236">
        <v>1</v>
      </c>
      <c r="B236" s="27">
        <v>45708</v>
      </c>
      <c r="C236" s="95">
        <v>433144.17292617733</v>
      </c>
      <c r="D236" s="29">
        <v>0</v>
      </c>
      <c r="E236" s="30">
        <f t="shared" si="36"/>
        <v>433144.17292617733</v>
      </c>
      <c r="F236" s="28">
        <v>39157</v>
      </c>
      <c r="G236" s="28">
        <f t="shared" si="37"/>
        <v>11.061730288995003</v>
      </c>
      <c r="H236" s="65">
        <f t="shared" si="40"/>
        <v>-8.9022129488082191E-3</v>
      </c>
      <c r="I236" s="72">
        <f t="shared" si="38"/>
        <v>4.2796858636446E-2</v>
      </c>
      <c r="J236" s="95">
        <v>163.71</v>
      </c>
      <c r="K236" s="65">
        <f t="shared" si="41"/>
        <v>-1.9508626470766677E-3</v>
      </c>
      <c r="L236" s="72">
        <f t="shared" si="39"/>
        <v>5.2797427652733209E-2</v>
      </c>
    </row>
    <row r="237" spans="1:12" ht="15.75" hidden="1" thickBot="1" x14ac:dyDescent="0.3">
      <c r="A237">
        <v>1</v>
      </c>
      <c r="B237" s="27">
        <v>45709</v>
      </c>
      <c r="C237" s="95">
        <v>424558.07145355182</v>
      </c>
      <c r="D237" s="29">
        <v>0</v>
      </c>
      <c r="E237" s="30">
        <f t="shared" si="36"/>
        <v>424558.07145355182</v>
      </c>
      <c r="F237" s="28">
        <v>39157</v>
      </c>
      <c r="G237" s="28">
        <f t="shared" si="37"/>
        <v>10.842456558305075</v>
      </c>
      <c r="H237" s="65">
        <f t="shared" si="40"/>
        <v>-1.9822733420654548E-2</v>
      </c>
      <c r="I237" s="72">
        <f t="shared" si="38"/>
        <v>2.2125774495799888E-2</v>
      </c>
      <c r="J237" s="95">
        <v>161.28</v>
      </c>
      <c r="K237" s="65">
        <f t="shared" si="41"/>
        <v>-1.4843320505772417E-2</v>
      </c>
      <c r="L237" s="72">
        <f t="shared" si="39"/>
        <v>3.717041800643095E-2</v>
      </c>
    </row>
    <row r="238" spans="1:12" ht="15.75" hidden="1" thickBot="1" x14ac:dyDescent="0.3">
      <c r="A238">
        <v>1</v>
      </c>
      <c r="B238" s="27">
        <v>45710</v>
      </c>
      <c r="C238" s="95">
        <v>424558.07145355182</v>
      </c>
      <c r="D238" s="29">
        <v>0</v>
      </c>
      <c r="E238" s="30">
        <f t="shared" si="36"/>
        <v>424558.07145355182</v>
      </c>
      <c r="F238" s="28">
        <v>39157</v>
      </c>
      <c r="G238" s="28">
        <f t="shared" si="37"/>
        <v>10.842456558305075</v>
      </c>
      <c r="H238" s="65">
        <f t="shared" si="40"/>
        <v>0</v>
      </c>
      <c r="I238" s="72">
        <f t="shared" si="38"/>
        <v>2.2125774495799888E-2</v>
      </c>
      <c r="J238" s="95">
        <v>161.28</v>
      </c>
      <c r="K238" s="65">
        <f t="shared" si="41"/>
        <v>0</v>
      </c>
      <c r="L238" s="72">
        <f t="shared" si="39"/>
        <v>3.717041800643095E-2</v>
      </c>
    </row>
    <row r="239" spans="1:12" ht="15.75" hidden="1" thickBot="1" x14ac:dyDescent="0.3">
      <c r="A239">
        <v>1</v>
      </c>
      <c r="B239" s="27">
        <v>45711</v>
      </c>
      <c r="C239" s="95">
        <v>424558.07145355182</v>
      </c>
      <c r="D239" s="29">
        <v>0</v>
      </c>
      <c r="E239" s="30">
        <f t="shared" si="36"/>
        <v>424558.07145355182</v>
      </c>
      <c r="F239" s="28">
        <v>39157</v>
      </c>
      <c r="G239" s="28">
        <f t="shared" si="37"/>
        <v>10.842456558305075</v>
      </c>
      <c r="H239" s="65">
        <f t="shared" si="40"/>
        <v>0</v>
      </c>
      <c r="I239" s="72">
        <f t="shared" si="38"/>
        <v>2.2125774495799888E-2</v>
      </c>
      <c r="J239" s="95">
        <v>161.28</v>
      </c>
      <c r="K239" s="65">
        <f t="shared" si="41"/>
        <v>0</v>
      </c>
      <c r="L239" s="72">
        <f t="shared" si="39"/>
        <v>3.717041800643095E-2</v>
      </c>
    </row>
    <row r="240" spans="1:12" ht="15.75" hidden="1" thickBot="1" x14ac:dyDescent="0.3">
      <c r="A240">
        <v>1</v>
      </c>
      <c r="B240" s="27">
        <v>45712</v>
      </c>
      <c r="C240" s="95">
        <v>421896.40522048896</v>
      </c>
      <c r="D240" s="29">
        <v>0</v>
      </c>
      <c r="E240" s="30">
        <f t="shared" si="36"/>
        <v>421896.40522048896</v>
      </c>
      <c r="F240" s="28">
        <v>39157</v>
      </c>
      <c r="G240" s="28">
        <f t="shared" si="37"/>
        <v>10.774482345953187</v>
      </c>
      <c r="H240" s="65">
        <f t="shared" si="40"/>
        <v>-6.2692630573485397E-3</v>
      </c>
      <c r="I240" s="72">
        <f t="shared" si="38"/>
        <v>1.5717799137789479E-2</v>
      </c>
      <c r="J240" s="95">
        <v>160.63</v>
      </c>
      <c r="K240" s="65">
        <f t="shared" si="41"/>
        <v>-4.0302579365080193E-3</v>
      </c>
      <c r="L240" s="72">
        <f t="shared" si="39"/>
        <v>3.2990353697749164E-2</v>
      </c>
    </row>
    <row r="241" spans="1:12" ht="15.75" hidden="1" thickBot="1" x14ac:dyDescent="0.3">
      <c r="A241">
        <v>1</v>
      </c>
      <c r="B241" s="27">
        <v>45713</v>
      </c>
      <c r="C241" s="95">
        <v>420386.33293579059</v>
      </c>
      <c r="D241" s="29">
        <v>0</v>
      </c>
      <c r="E241" s="30">
        <f t="shared" si="36"/>
        <v>420386.33293579059</v>
      </c>
      <c r="F241" s="28">
        <v>39157</v>
      </c>
      <c r="G241" s="28">
        <f t="shared" si="37"/>
        <v>10.735917790836647</v>
      </c>
      <c r="H241" s="65">
        <f t="shared" si="40"/>
        <v>-3.5792489957556795E-3</v>
      </c>
      <c r="I241" s="72">
        <f t="shared" si="38"/>
        <v>1.2082292225254365E-2</v>
      </c>
      <c r="J241" s="95">
        <v>160.41</v>
      </c>
      <c r="K241" s="65">
        <f t="shared" si="41"/>
        <v>-1.3696071717611558E-3</v>
      </c>
      <c r="L241" s="72">
        <f t="shared" si="39"/>
        <v>3.1575562700964621E-2</v>
      </c>
    </row>
    <row r="242" spans="1:12" ht="15.75" hidden="1" thickBot="1" x14ac:dyDescent="0.3">
      <c r="A242">
        <v>1</v>
      </c>
      <c r="B242" s="27">
        <v>45714</v>
      </c>
      <c r="C242" s="95">
        <v>422278.19828079175</v>
      </c>
      <c r="D242" s="29">
        <v>0</v>
      </c>
      <c r="E242" s="30">
        <f t="shared" si="36"/>
        <v>422278.19828079175</v>
      </c>
      <c r="F242" s="28">
        <v>39157</v>
      </c>
      <c r="G242" s="28">
        <f t="shared" si="37"/>
        <v>10.784232660336382</v>
      </c>
      <c r="H242" s="65">
        <f t="shared" si="40"/>
        <v>4.5003017386155975E-3</v>
      </c>
      <c r="I242" s="72">
        <f t="shared" si="38"/>
        <v>1.6636967924577695E-2</v>
      </c>
      <c r="J242" s="95">
        <v>160.51</v>
      </c>
      <c r="K242" s="65">
        <f t="shared" si="41"/>
        <v>6.2340253101433873E-4</v>
      </c>
      <c r="L242" s="72">
        <f t="shared" si="39"/>
        <v>3.2218649517684828E-2</v>
      </c>
    </row>
    <row r="243" spans="1:12" ht="15.75" hidden="1" thickBot="1" x14ac:dyDescent="0.3">
      <c r="A243">
        <v>1</v>
      </c>
      <c r="B243" s="27">
        <v>45715</v>
      </c>
      <c r="C243" s="95">
        <v>415202.83508346515</v>
      </c>
      <c r="D243" s="29">
        <v>0</v>
      </c>
      <c r="E243" s="30">
        <f t="shared" si="36"/>
        <v>415202.83508346515</v>
      </c>
      <c r="F243" s="28">
        <v>39157</v>
      </c>
      <c r="G243" s="28">
        <f t="shared" si="37"/>
        <v>10.6035404929761</v>
      </c>
      <c r="H243" s="65">
        <f t="shared" si="40"/>
        <v>-1.6755217830644153E-2</v>
      </c>
      <c r="I243" s="72">
        <f t="shared" si="38"/>
        <v>-3.9700592768410203E-4</v>
      </c>
      <c r="J243" s="95">
        <v>158.06</v>
      </c>
      <c r="K243" s="65">
        <f t="shared" si="41"/>
        <v>-1.5263846489315225E-2</v>
      </c>
      <c r="L243" s="72">
        <f t="shared" si="39"/>
        <v>1.6463022508038661E-2</v>
      </c>
    </row>
    <row r="244" spans="1:12" ht="15.75" hidden="1" thickBot="1" x14ac:dyDescent="0.3">
      <c r="A244">
        <v>1</v>
      </c>
      <c r="B244" s="27">
        <v>45716</v>
      </c>
      <c r="C244" s="95">
        <v>419872.01083801227</v>
      </c>
      <c r="D244" s="29">
        <v>0</v>
      </c>
      <c r="E244" s="30">
        <f t="shared" si="36"/>
        <v>419872.01083801227</v>
      </c>
      <c r="F244" s="28">
        <v>39157</v>
      </c>
      <c r="G244" s="28">
        <f t="shared" si="37"/>
        <v>10.722782921010605</v>
      </c>
      <c r="H244" s="65">
        <f t="shared" si="40"/>
        <v>1.1245529558121969E-2</v>
      </c>
      <c r="I244" s="72">
        <f t="shared" si="38"/>
        <v>1.0844059088543245E-2</v>
      </c>
      <c r="J244" s="95">
        <v>160</v>
      </c>
      <c r="K244" s="65">
        <f t="shared" si="41"/>
        <v>1.2273820068328556E-2</v>
      </c>
      <c r="L244" s="72">
        <f t="shared" si="39"/>
        <v>2.8938906752411508E-2</v>
      </c>
    </row>
    <row r="245" spans="1:12" ht="15.75" hidden="1" thickBot="1" x14ac:dyDescent="0.3">
      <c r="A245">
        <v>1</v>
      </c>
      <c r="B245" s="27">
        <v>45717</v>
      </c>
      <c r="C245" s="95">
        <v>419872.01083801227</v>
      </c>
      <c r="D245" s="29">
        <v>0</v>
      </c>
      <c r="E245" s="30">
        <f t="shared" si="36"/>
        <v>419872.01083801227</v>
      </c>
      <c r="F245" s="28">
        <v>39157</v>
      </c>
      <c r="G245" s="28">
        <f t="shared" si="37"/>
        <v>10.722782921010605</v>
      </c>
      <c r="H245" s="65">
        <f t="shared" si="40"/>
        <v>0</v>
      </c>
      <c r="I245" s="72">
        <f t="shared" si="38"/>
        <v>1.0844059088543245E-2</v>
      </c>
      <c r="J245" s="95">
        <v>160</v>
      </c>
      <c r="K245" s="65">
        <f t="shared" si="41"/>
        <v>0</v>
      </c>
      <c r="L245" s="72">
        <f t="shared" si="39"/>
        <v>2.8938906752411508E-2</v>
      </c>
    </row>
    <row r="246" spans="1:12" ht="15.75" hidden="1" thickBot="1" x14ac:dyDescent="0.3">
      <c r="A246">
        <v>1</v>
      </c>
      <c r="B246" s="27">
        <v>45718</v>
      </c>
      <c r="C246" s="95">
        <v>419872.01083801227</v>
      </c>
      <c r="D246" s="29">
        <v>0</v>
      </c>
      <c r="E246" s="30">
        <f t="shared" si="36"/>
        <v>419872.01083801227</v>
      </c>
      <c r="F246" s="28">
        <v>39157</v>
      </c>
      <c r="G246" s="28">
        <f t="shared" si="37"/>
        <v>10.722782921010605</v>
      </c>
      <c r="H246" s="65">
        <f t="shared" si="40"/>
        <v>0</v>
      </c>
      <c r="I246" s="72">
        <f t="shared" si="38"/>
        <v>1.0844059088543245E-2</v>
      </c>
      <c r="J246" s="95">
        <v>160</v>
      </c>
      <c r="K246" s="65">
        <f t="shared" si="41"/>
        <v>0</v>
      </c>
      <c r="L246" s="72">
        <f t="shared" si="39"/>
        <v>2.8938906752411508E-2</v>
      </c>
    </row>
    <row r="247" spans="1:12" ht="15.75" hidden="1" thickBot="1" x14ac:dyDescent="0.3">
      <c r="A247">
        <v>1</v>
      </c>
      <c r="B247" s="27">
        <v>45719</v>
      </c>
      <c r="C247" s="95">
        <v>412236.88140121422</v>
      </c>
      <c r="D247" s="29">
        <v>0</v>
      </c>
      <c r="E247" s="30">
        <f t="shared" si="36"/>
        <v>412236.88140121422</v>
      </c>
      <c r="F247" s="28">
        <v>39157</v>
      </c>
      <c r="G247" s="28">
        <f t="shared" si="37"/>
        <v>10.527795321429481</v>
      </c>
      <c r="H247" s="65">
        <f t="shared" si="40"/>
        <v>-1.8184421060978284E-2</v>
      </c>
      <c r="I247" s="72">
        <f t="shared" si="38"/>
        <v>-7.5375549089111704E-3</v>
      </c>
      <c r="J247" s="95">
        <v>158.29</v>
      </c>
      <c r="K247" s="65">
        <f t="shared" si="41"/>
        <v>-1.0687500000000072E-2</v>
      </c>
      <c r="L247" s="72">
        <f t="shared" si="39"/>
        <v>1.7942122186495046E-2</v>
      </c>
    </row>
    <row r="248" spans="1:12" ht="15.75" hidden="1" thickBot="1" x14ac:dyDescent="0.3">
      <c r="A248">
        <v>1</v>
      </c>
      <c r="B248" s="27">
        <v>45720</v>
      </c>
      <c r="C248" s="95">
        <v>408893.08299697831</v>
      </c>
      <c r="D248" s="29">
        <v>0</v>
      </c>
      <c r="E248" s="30">
        <f t="shared" si="36"/>
        <v>408893.08299697831</v>
      </c>
      <c r="F248" s="28">
        <v>39157</v>
      </c>
      <c r="G248" s="28">
        <f t="shared" si="37"/>
        <v>10.442400669024142</v>
      </c>
      <c r="H248" s="65">
        <f t="shared" si="40"/>
        <v>-8.1113518830973064E-3</v>
      </c>
      <c r="I248" s="72">
        <f t="shared" si="38"/>
        <v>-1.558776703180409E-2</v>
      </c>
      <c r="J248" s="95">
        <v>156.96</v>
      </c>
      <c r="K248" s="65">
        <f t="shared" si="41"/>
        <v>-8.4022995767261133E-3</v>
      </c>
      <c r="L248" s="72">
        <f t="shared" si="39"/>
        <v>9.389067524115724E-3</v>
      </c>
    </row>
    <row r="249" spans="1:12" ht="15.75" hidden="1" thickBot="1" x14ac:dyDescent="0.3">
      <c r="A249">
        <v>1</v>
      </c>
      <c r="B249" s="27">
        <v>45721</v>
      </c>
      <c r="C249" s="95">
        <v>412988.20408691349</v>
      </c>
      <c r="D249" s="29">
        <v>0</v>
      </c>
      <c r="E249" s="30">
        <f t="shared" si="36"/>
        <v>412988.20408691349</v>
      </c>
      <c r="F249" s="28">
        <v>39157</v>
      </c>
      <c r="G249" s="28">
        <f t="shared" si="37"/>
        <v>10.546982763922504</v>
      </c>
      <c r="H249" s="65">
        <f t="shared" si="40"/>
        <v>1.0015139067454992E-2</v>
      </c>
      <c r="I249" s="72">
        <f t="shared" si="38"/>
        <v>-5.7287416189237828E-3</v>
      </c>
      <c r="J249" s="95">
        <v>159.24</v>
      </c>
      <c r="K249" s="65">
        <f t="shared" si="41"/>
        <v>1.4525993883792054E-2</v>
      </c>
      <c r="L249" s="72">
        <f t="shared" si="39"/>
        <v>2.4051446945337673E-2</v>
      </c>
    </row>
    <row r="250" spans="1:12" ht="15.75" hidden="1" thickBot="1" x14ac:dyDescent="0.3">
      <c r="A250">
        <v>1</v>
      </c>
      <c r="B250" s="27">
        <v>45722</v>
      </c>
      <c r="C250" s="95">
        <v>404673.91635955765</v>
      </c>
      <c r="D250" s="29">
        <v>0</v>
      </c>
      <c r="E250" s="30">
        <f t="shared" ref="E250:E313" si="42">C250-D250</f>
        <v>404673.91635955765</v>
      </c>
      <c r="F250" s="28">
        <v>39157</v>
      </c>
      <c r="G250" s="28">
        <f t="shared" ref="G250:G313" si="43">E250/F250</f>
        <v>10.334650671899217</v>
      </c>
      <c r="H250" s="65">
        <f t="shared" si="40"/>
        <v>-2.0132022283150031E-2</v>
      </c>
      <c r="I250" s="72">
        <f t="shared" ref="I250:I313" si="44">G250/$G$186-1</f>
        <v>-2.5745432748147112E-2</v>
      </c>
      <c r="J250" s="95">
        <v>156.49</v>
      </c>
      <c r="K250" s="65">
        <f t="shared" si="41"/>
        <v>-1.7269530268776645E-2</v>
      </c>
      <c r="L250" s="72">
        <f t="shared" ref="L250:L313" si="45">J250/$J$186-1</f>
        <v>6.3665594855306651E-3</v>
      </c>
    </row>
    <row r="251" spans="1:12" ht="15.75" hidden="1" thickBot="1" x14ac:dyDescent="0.3">
      <c r="A251">
        <v>1</v>
      </c>
      <c r="B251" s="27">
        <v>45723</v>
      </c>
      <c r="C251" s="95">
        <v>407082.79354537907</v>
      </c>
      <c r="D251" s="29">
        <v>0</v>
      </c>
      <c r="E251" s="30">
        <f t="shared" si="42"/>
        <v>407082.79354537907</v>
      </c>
      <c r="F251" s="28">
        <v>39157</v>
      </c>
      <c r="G251" s="28">
        <f t="shared" si="43"/>
        <v>10.396169102469011</v>
      </c>
      <c r="H251" s="65">
        <f t="shared" ref="H251:H314" si="46">G251/G250 -1</f>
        <v>5.9526376384513302E-3</v>
      </c>
      <c r="I251" s="72">
        <f t="shared" si="44"/>
        <v>-1.9946048341690559E-2</v>
      </c>
      <c r="J251" s="95">
        <v>157.63999999999999</v>
      </c>
      <c r="K251" s="65">
        <f t="shared" ref="K251:K314" si="47">J251/J250 -1</f>
        <v>7.3487123777875585E-3</v>
      </c>
      <c r="L251" s="72">
        <f t="shared" si="45"/>
        <v>1.3762057877813483E-2</v>
      </c>
    </row>
    <row r="252" spans="1:12" ht="15.75" hidden="1" thickBot="1" x14ac:dyDescent="0.3">
      <c r="A252">
        <v>1</v>
      </c>
      <c r="B252" s="27">
        <v>45724</v>
      </c>
      <c r="C252" s="95">
        <v>407082.79354537907</v>
      </c>
      <c r="D252" s="29">
        <v>0</v>
      </c>
      <c r="E252" s="30">
        <f t="shared" si="42"/>
        <v>407082.79354537907</v>
      </c>
      <c r="F252" s="28">
        <v>39157</v>
      </c>
      <c r="G252" s="28">
        <f t="shared" si="43"/>
        <v>10.396169102469011</v>
      </c>
      <c r="H252" s="65">
        <f t="shared" si="46"/>
        <v>0</v>
      </c>
      <c r="I252" s="72">
        <f t="shared" si="44"/>
        <v>-1.9946048341690559E-2</v>
      </c>
      <c r="J252" s="95">
        <v>157.63999999999999</v>
      </c>
      <c r="K252" s="65">
        <f t="shared" si="47"/>
        <v>0</v>
      </c>
      <c r="L252" s="72">
        <f t="shared" si="45"/>
        <v>1.3762057877813483E-2</v>
      </c>
    </row>
    <row r="253" spans="1:12" ht="15.75" hidden="1" thickBot="1" x14ac:dyDescent="0.3">
      <c r="A253">
        <v>1</v>
      </c>
      <c r="B253" s="27">
        <v>45725</v>
      </c>
      <c r="C253" s="95">
        <v>407082.79354537907</v>
      </c>
      <c r="D253" s="29">
        <v>0</v>
      </c>
      <c r="E253" s="30">
        <f t="shared" si="42"/>
        <v>407082.79354537907</v>
      </c>
      <c r="F253" s="28">
        <v>39157</v>
      </c>
      <c r="G253" s="28">
        <f t="shared" si="43"/>
        <v>10.396169102469011</v>
      </c>
      <c r="H253" s="65">
        <f t="shared" si="46"/>
        <v>0</v>
      </c>
      <c r="I253" s="72">
        <f t="shared" si="44"/>
        <v>-1.9946048341690559E-2</v>
      </c>
      <c r="J253" s="95">
        <v>157.63999999999999</v>
      </c>
      <c r="K253" s="65">
        <f t="shared" si="47"/>
        <v>0</v>
      </c>
      <c r="L253" s="72">
        <f t="shared" si="45"/>
        <v>1.3762057877813483E-2</v>
      </c>
    </row>
    <row r="254" spans="1:12" ht="15.75" hidden="1" thickBot="1" x14ac:dyDescent="0.3">
      <c r="A254">
        <v>1</v>
      </c>
      <c r="B254" s="27">
        <v>45726</v>
      </c>
      <c r="C254" s="185">
        <v>398555.38380111638</v>
      </c>
      <c r="D254" s="29">
        <v>0</v>
      </c>
      <c r="E254" s="30">
        <f t="shared" si="42"/>
        <v>398555.38380111638</v>
      </c>
      <c r="F254" s="28">
        <v>39157</v>
      </c>
      <c r="G254" s="28">
        <f t="shared" si="43"/>
        <v>10.178394253929474</v>
      </c>
      <c r="H254" s="65">
        <f t="shared" si="46"/>
        <v>-2.0947605448993545E-2</v>
      </c>
      <c r="I254" s="72">
        <f t="shared" si="44"/>
        <v>-4.0475831839755783E-2</v>
      </c>
      <c r="J254" s="95">
        <v>153.34</v>
      </c>
      <c r="K254" s="65">
        <f t="shared" si="47"/>
        <v>-2.7277340776452608E-2</v>
      </c>
      <c r="L254" s="72">
        <f t="shared" si="45"/>
        <v>-1.3890675241157502E-2</v>
      </c>
    </row>
    <row r="255" spans="1:12" ht="15.75" hidden="1" thickBot="1" x14ac:dyDescent="0.3">
      <c r="A255">
        <v>1</v>
      </c>
      <c r="B255" s="27">
        <v>45727</v>
      </c>
      <c r="C255" s="95">
        <v>397848.00415100076</v>
      </c>
      <c r="D255" s="29">
        <v>0</v>
      </c>
      <c r="E255" s="30">
        <f t="shared" si="42"/>
        <v>397848.00415100076</v>
      </c>
      <c r="F255" s="28">
        <v>39157</v>
      </c>
      <c r="G255" s="28">
        <f t="shared" si="43"/>
        <v>10.16032903825627</v>
      </c>
      <c r="H255" s="65">
        <f t="shared" si="46"/>
        <v>-1.7748591008085457E-3</v>
      </c>
      <c r="I255" s="72">
        <f t="shared" si="44"/>
        <v>-4.2178852042060733E-2</v>
      </c>
      <c r="J255" s="95">
        <v>152.43</v>
      </c>
      <c r="K255" s="65">
        <f t="shared" si="47"/>
        <v>-5.9345245858875018E-3</v>
      </c>
      <c r="L255" s="72">
        <f t="shared" si="45"/>
        <v>-1.9742765273311869E-2</v>
      </c>
    </row>
    <row r="256" spans="1:12" ht="15.75" hidden="1" thickBot="1" x14ac:dyDescent="0.3">
      <c r="A256">
        <v>1</v>
      </c>
      <c r="B256" s="27">
        <v>45728</v>
      </c>
      <c r="C256" s="95">
        <v>400521.08506835904</v>
      </c>
      <c r="D256" s="29">
        <v>0</v>
      </c>
      <c r="E256" s="30">
        <f t="shared" si="42"/>
        <v>400521.08506835904</v>
      </c>
      <c r="F256" s="28">
        <v>39157</v>
      </c>
      <c r="G256" s="28">
        <f t="shared" si="43"/>
        <v>10.228594761303446</v>
      </c>
      <c r="H256" s="65">
        <f t="shared" si="46"/>
        <v>6.7188496347054816E-3</v>
      </c>
      <c r="I256" s="72">
        <f t="shared" si="44"/>
        <v>-3.5743395771990261E-2</v>
      </c>
      <c r="J256" s="95">
        <v>153.19999999999999</v>
      </c>
      <c r="K256" s="65">
        <f t="shared" si="47"/>
        <v>5.0514990487435796E-3</v>
      </c>
      <c r="L256" s="72">
        <f t="shared" si="45"/>
        <v>-1.4790996784565968E-2</v>
      </c>
    </row>
    <row r="257" spans="1:12" ht="15.75" hidden="1" thickBot="1" x14ac:dyDescent="0.3">
      <c r="A257">
        <v>1</v>
      </c>
      <c r="B257" s="27">
        <v>45729</v>
      </c>
      <c r="C257" s="95">
        <v>395683.36430801335</v>
      </c>
      <c r="D257" s="29">
        <v>0</v>
      </c>
      <c r="E257" s="30">
        <f t="shared" si="42"/>
        <v>395683.36430801335</v>
      </c>
      <c r="F257" s="28">
        <v>39157</v>
      </c>
      <c r="G257" s="28">
        <f t="shared" si="43"/>
        <v>10.105047994177626</v>
      </c>
      <c r="H257" s="65">
        <f t="shared" si="46"/>
        <v>-1.2078566998589002E-2</v>
      </c>
      <c r="I257" s="72">
        <f t="shared" si="44"/>
        <v>-4.7390233769990187E-2</v>
      </c>
      <c r="J257" s="95">
        <v>151.24</v>
      </c>
      <c r="K257" s="65">
        <f t="shared" si="47"/>
        <v>-1.2793733681461972E-2</v>
      </c>
      <c r="L257" s="72">
        <f t="shared" si="45"/>
        <v>-2.7395498392282946E-2</v>
      </c>
    </row>
    <row r="258" spans="1:12" ht="15.75" hidden="1" thickBot="1" x14ac:dyDescent="0.3">
      <c r="A258">
        <v>1</v>
      </c>
      <c r="B258" s="27">
        <v>45730</v>
      </c>
      <c r="C258" s="95">
        <v>402679.12238372769</v>
      </c>
      <c r="D258" s="29">
        <v>0</v>
      </c>
      <c r="E258" s="30">
        <f t="shared" si="42"/>
        <v>402679.12238372769</v>
      </c>
      <c r="F258" s="28">
        <v>39157</v>
      </c>
      <c r="G258" s="28">
        <f t="shared" si="43"/>
        <v>10.283707188592786</v>
      </c>
      <c r="H258" s="65">
        <f t="shared" si="46"/>
        <v>1.7680192564953678E-2</v>
      </c>
      <c r="I258" s="72">
        <f t="shared" si="44"/>
        <v>-3.0547909663788175E-2</v>
      </c>
      <c r="J258" s="95">
        <v>154.46</v>
      </c>
      <c r="K258" s="65">
        <f t="shared" si="47"/>
        <v>2.1290663845543456E-2</v>
      </c>
      <c r="L258" s="72">
        <f t="shared" si="45"/>
        <v>-6.6881028938906573E-3</v>
      </c>
    </row>
    <row r="259" spans="1:12" ht="15.75" hidden="1" thickBot="1" x14ac:dyDescent="0.3">
      <c r="A259">
        <v>1</v>
      </c>
      <c r="B259" s="27">
        <v>45731</v>
      </c>
      <c r="C259" s="95">
        <v>402679.12238372769</v>
      </c>
      <c r="D259" s="29">
        <v>0</v>
      </c>
      <c r="E259" s="30">
        <f t="shared" si="42"/>
        <v>402679.12238372769</v>
      </c>
      <c r="F259" s="28">
        <v>39157</v>
      </c>
      <c r="G259" s="28">
        <f t="shared" si="43"/>
        <v>10.283707188592786</v>
      </c>
      <c r="H259" s="65">
        <f t="shared" si="46"/>
        <v>0</v>
      </c>
      <c r="I259" s="72">
        <f t="shared" si="44"/>
        <v>-3.0547909663788175E-2</v>
      </c>
      <c r="J259" s="95">
        <v>154.46</v>
      </c>
      <c r="K259" s="65">
        <f t="shared" si="47"/>
        <v>0</v>
      </c>
      <c r="L259" s="72">
        <f t="shared" si="45"/>
        <v>-6.6881028938906573E-3</v>
      </c>
    </row>
    <row r="260" spans="1:12" ht="15.75" hidden="1" thickBot="1" x14ac:dyDescent="0.3">
      <c r="A260">
        <v>1</v>
      </c>
      <c r="B260" s="27">
        <v>45732</v>
      </c>
      <c r="C260" s="95">
        <v>402679.12238372769</v>
      </c>
      <c r="D260" s="29">
        <v>0</v>
      </c>
      <c r="E260" s="30">
        <f t="shared" si="42"/>
        <v>402679.12238372769</v>
      </c>
      <c r="F260" s="28">
        <v>39157</v>
      </c>
      <c r="G260" s="28">
        <f t="shared" si="43"/>
        <v>10.283707188592786</v>
      </c>
      <c r="H260" s="65">
        <f t="shared" si="46"/>
        <v>0</v>
      </c>
      <c r="I260" s="72">
        <f t="shared" si="44"/>
        <v>-3.0547909663788175E-2</v>
      </c>
      <c r="J260" s="95">
        <v>154.46</v>
      </c>
      <c r="K260" s="65">
        <f t="shared" si="47"/>
        <v>0</v>
      </c>
      <c r="L260" s="72">
        <f t="shared" si="45"/>
        <v>-6.6881028938906573E-3</v>
      </c>
    </row>
    <row r="261" spans="1:12" ht="15.75" hidden="1" thickBot="1" x14ac:dyDescent="0.3">
      <c r="A261">
        <v>1</v>
      </c>
      <c r="B261" s="27">
        <v>45733</v>
      </c>
      <c r="C261" s="95">
        <v>397389.69</v>
      </c>
      <c r="D261" s="29">
        <v>0</v>
      </c>
      <c r="E261" s="30">
        <f t="shared" si="42"/>
        <v>397389.69</v>
      </c>
      <c r="F261" s="28">
        <v>39157</v>
      </c>
      <c r="G261" s="28">
        <f t="shared" si="43"/>
        <v>10.148624511581582</v>
      </c>
      <c r="H261" s="65">
        <f t="shared" si="46"/>
        <v>-1.3135601250981122E-2</v>
      </c>
      <c r="I261" s="72">
        <f t="shared" si="44"/>
        <v>-4.3282245754374782E-2</v>
      </c>
      <c r="J261" s="95">
        <v>155.87</v>
      </c>
      <c r="K261" s="65">
        <f t="shared" si="47"/>
        <v>9.1285769778584047E-3</v>
      </c>
      <c r="L261" s="72">
        <f t="shared" si="45"/>
        <v>2.3794212218650745E-3</v>
      </c>
    </row>
    <row r="262" spans="1:12" ht="15.75" hidden="1" thickBot="1" x14ac:dyDescent="0.3">
      <c r="A262">
        <v>1</v>
      </c>
      <c r="B262" s="27">
        <v>45734</v>
      </c>
      <c r="C262" s="95">
        <v>393612.71</v>
      </c>
      <c r="D262" s="29">
        <v>0</v>
      </c>
      <c r="E262" s="30">
        <f t="shared" si="42"/>
        <v>393612.71</v>
      </c>
      <c r="F262" s="28">
        <v>39157</v>
      </c>
      <c r="G262" s="28">
        <f t="shared" si="43"/>
        <v>10.052167173174656</v>
      </c>
      <c r="H262" s="65">
        <f t="shared" si="46"/>
        <v>-9.504474059203738E-3</v>
      </c>
      <c r="I262" s="72">
        <f t="shared" si="44"/>
        <v>-5.2375344831582016E-2</v>
      </c>
      <c r="J262" s="95">
        <v>154.53</v>
      </c>
      <c r="K262" s="65">
        <f t="shared" si="47"/>
        <v>-8.5969076794765176E-3</v>
      </c>
      <c r="L262" s="72">
        <f t="shared" si="45"/>
        <v>-6.237942122186535E-3</v>
      </c>
    </row>
    <row r="263" spans="1:12" ht="15.75" hidden="1" thickBot="1" x14ac:dyDescent="0.3">
      <c r="A263">
        <v>1</v>
      </c>
      <c r="B263" s="27">
        <v>45735</v>
      </c>
      <c r="C263" s="95">
        <v>397048.95</v>
      </c>
      <c r="D263" s="29">
        <v>0</v>
      </c>
      <c r="E263" s="30">
        <f t="shared" si="42"/>
        <v>397048.95</v>
      </c>
      <c r="F263" s="28">
        <v>39157</v>
      </c>
      <c r="G263" s="28">
        <f t="shared" si="43"/>
        <v>10.139922619199632</v>
      </c>
      <c r="H263" s="65">
        <f t="shared" si="46"/>
        <v>8.7300026465100267E-3</v>
      </c>
      <c r="I263" s="72">
        <f t="shared" si="44"/>
        <v>-4.4102579084063454E-2</v>
      </c>
      <c r="J263" s="95">
        <v>155.93</v>
      </c>
      <c r="K263" s="65">
        <f t="shared" si="47"/>
        <v>9.0597295023620017E-3</v>
      </c>
      <c r="L263" s="72">
        <f t="shared" si="45"/>
        <v>2.7652733118972428E-3</v>
      </c>
    </row>
    <row r="264" spans="1:12" ht="15.75" hidden="1" thickBot="1" x14ac:dyDescent="0.3">
      <c r="A264">
        <v>1</v>
      </c>
      <c r="B264" s="27">
        <v>45736</v>
      </c>
      <c r="C264" s="95">
        <v>396306.2</v>
      </c>
      <c r="D264" s="29">
        <v>0</v>
      </c>
      <c r="E264" s="30">
        <f t="shared" si="42"/>
        <v>396306.2</v>
      </c>
      <c r="F264" s="28">
        <v>39157</v>
      </c>
      <c r="G264" s="28">
        <f t="shared" si="43"/>
        <v>10.120954107822357</v>
      </c>
      <c r="H264" s="65">
        <f t="shared" si="46"/>
        <v>-1.8706761471097844E-3</v>
      </c>
      <c r="I264" s="72">
        <f t="shared" si="44"/>
        <v>-4.5890753588454736E-2</v>
      </c>
      <c r="J264" s="95">
        <v>155.33000000000001</v>
      </c>
      <c r="K264" s="65">
        <f t="shared" si="47"/>
        <v>-3.8478804591803861E-3</v>
      </c>
      <c r="L264" s="72">
        <f t="shared" si="45"/>
        <v>-1.0932475884243287E-3</v>
      </c>
    </row>
    <row r="265" spans="1:12" ht="15.75" hidden="1" thickBot="1" x14ac:dyDescent="0.3">
      <c r="A265">
        <v>1</v>
      </c>
      <c r="B265" s="27">
        <v>45737</v>
      </c>
      <c r="C265" s="95">
        <v>395543.36</v>
      </c>
      <c r="D265" s="29">
        <v>0</v>
      </c>
      <c r="E265" s="30">
        <f t="shared" si="42"/>
        <v>395543.36</v>
      </c>
      <c r="F265" s="28">
        <v>39157</v>
      </c>
      <c r="G265" s="28">
        <f t="shared" si="43"/>
        <v>10.101472533646602</v>
      </c>
      <c r="H265" s="65">
        <f t="shared" si="46"/>
        <v>-1.9248752605940389E-3</v>
      </c>
      <c r="I265" s="72">
        <f t="shared" si="44"/>
        <v>-4.7727294872776271E-2</v>
      </c>
      <c r="J265" s="95">
        <v>155.22999999999999</v>
      </c>
      <c r="K265" s="65">
        <f t="shared" si="47"/>
        <v>-6.4379063928421409E-4</v>
      </c>
      <c r="L265" s="72">
        <f t="shared" si="45"/>
        <v>-1.7363344051447571E-3</v>
      </c>
    </row>
    <row r="266" spans="1:12" ht="15.75" hidden="1" thickBot="1" x14ac:dyDescent="0.3">
      <c r="A266">
        <v>1</v>
      </c>
      <c r="B266" s="27">
        <v>45738</v>
      </c>
      <c r="C266" s="95">
        <v>395543.36</v>
      </c>
      <c r="D266" s="29">
        <v>0</v>
      </c>
      <c r="E266" s="30">
        <f t="shared" si="42"/>
        <v>395543.36</v>
      </c>
      <c r="F266" s="28">
        <v>39157</v>
      </c>
      <c r="G266" s="28">
        <f t="shared" si="43"/>
        <v>10.101472533646602</v>
      </c>
      <c r="H266" s="65">
        <f t="shared" si="46"/>
        <v>0</v>
      </c>
      <c r="I266" s="72">
        <f t="shared" si="44"/>
        <v>-4.7727294872776271E-2</v>
      </c>
      <c r="J266" s="95">
        <v>155.22999999999999</v>
      </c>
      <c r="K266" s="65">
        <f t="shared" si="47"/>
        <v>0</v>
      </c>
      <c r="L266" s="72">
        <f t="shared" si="45"/>
        <v>-1.7363344051447571E-3</v>
      </c>
    </row>
    <row r="267" spans="1:12" ht="15.75" hidden="1" thickBot="1" x14ac:dyDescent="0.3">
      <c r="A267">
        <v>1</v>
      </c>
      <c r="B267" s="27">
        <v>45739</v>
      </c>
      <c r="C267" s="95">
        <v>395543.36</v>
      </c>
      <c r="D267" s="29">
        <v>0</v>
      </c>
      <c r="E267" s="30">
        <f t="shared" si="42"/>
        <v>395543.36</v>
      </c>
      <c r="F267" s="28">
        <v>39157</v>
      </c>
      <c r="G267" s="28">
        <f t="shared" si="43"/>
        <v>10.101472533646602</v>
      </c>
      <c r="H267" s="65">
        <f t="shared" si="46"/>
        <v>0</v>
      </c>
      <c r="I267" s="72">
        <f t="shared" si="44"/>
        <v>-4.7727294872776271E-2</v>
      </c>
      <c r="J267" s="95">
        <v>155.22999999999999</v>
      </c>
      <c r="K267" s="65">
        <f t="shared" si="47"/>
        <v>0</v>
      </c>
      <c r="L267" s="72">
        <f t="shared" si="45"/>
        <v>-1.7363344051447571E-3</v>
      </c>
    </row>
    <row r="268" spans="1:12" ht="15.75" hidden="1" thickBot="1" x14ac:dyDescent="0.3">
      <c r="A268">
        <v>1</v>
      </c>
      <c r="B268" s="27">
        <v>45740</v>
      </c>
      <c r="C268" s="95">
        <v>400301.45</v>
      </c>
      <c r="D268" s="29">
        <v>0</v>
      </c>
      <c r="E268" s="30">
        <f t="shared" si="42"/>
        <v>400301.45</v>
      </c>
      <c r="F268" s="28">
        <v>39157</v>
      </c>
      <c r="G268" s="28">
        <f t="shared" si="43"/>
        <v>10.222985673059734</v>
      </c>
      <c r="H268" s="65">
        <f t="shared" si="46"/>
        <v>1.2029250092834287E-2</v>
      </c>
      <c r="I268" s="72">
        <f t="shared" si="44"/>
        <v>-3.6272168346221045E-2</v>
      </c>
      <c r="J268" s="95">
        <v>157.41999999999999</v>
      </c>
      <c r="K268" s="65">
        <f t="shared" si="47"/>
        <v>1.4108097661534424E-2</v>
      </c>
      <c r="L268" s="72">
        <f t="shared" si="45"/>
        <v>1.234726688102894E-2</v>
      </c>
    </row>
    <row r="269" spans="1:12" ht="15.75" hidden="1" thickBot="1" x14ac:dyDescent="0.3">
      <c r="A269">
        <v>1</v>
      </c>
      <c r="B269" s="27">
        <v>45741</v>
      </c>
      <c r="C269" s="95">
        <v>399746.01</v>
      </c>
      <c r="D269" s="29">
        <v>0</v>
      </c>
      <c r="E269" s="30">
        <f t="shared" si="42"/>
        <v>399746.01</v>
      </c>
      <c r="F269" s="28">
        <v>39157</v>
      </c>
      <c r="G269" s="28">
        <f t="shared" si="43"/>
        <v>10.208800725285389</v>
      </c>
      <c r="H269" s="65">
        <f t="shared" si="46"/>
        <v>-1.3875543043874172E-3</v>
      </c>
      <c r="I269" s="72">
        <f t="shared" si="44"/>
        <v>-3.7609393047290163E-2</v>
      </c>
      <c r="J269" s="95">
        <v>157.78</v>
      </c>
      <c r="K269" s="65">
        <f t="shared" si="47"/>
        <v>2.2868758734595485E-3</v>
      </c>
      <c r="L269" s="72">
        <f t="shared" si="45"/>
        <v>1.4662379421221949E-2</v>
      </c>
    </row>
    <row r="270" spans="1:12" ht="15.75" hidden="1" thickBot="1" x14ac:dyDescent="0.3">
      <c r="A270">
        <v>1</v>
      </c>
      <c r="B270" s="27">
        <v>45742</v>
      </c>
      <c r="C270" s="95">
        <v>395580.2</v>
      </c>
      <c r="D270" s="29">
        <v>0</v>
      </c>
      <c r="E270" s="30">
        <f t="shared" si="42"/>
        <v>395580.2</v>
      </c>
      <c r="F270" s="28">
        <v>39157</v>
      </c>
      <c r="G270" s="28">
        <f t="shared" si="43"/>
        <v>10.102413361595628</v>
      </c>
      <c r="H270" s="65">
        <f t="shared" si="46"/>
        <v>-1.0421142164745989E-2</v>
      </c>
      <c r="I270" s="72">
        <f t="shared" si="44"/>
        <v>-4.763860238036044E-2</v>
      </c>
      <c r="J270" s="95">
        <v>155.97999999999999</v>
      </c>
      <c r="K270" s="65">
        <f t="shared" si="47"/>
        <v>-1.1408290024084278E-2</v>
      </c>
      <c r="L270" s="72">
        <f t="shared" si="45"/>
        <v>3.0868167202571239E-3</v>
      </c>
    </row>
    <row r="271" spans="1:12" ht="15.75" hidden="1" thickBot="1" x14ac:dyDescent="0.3">
      <c r="A271">
        <v>1</v>
      </c>
      <c r="B271" s="27">
        <v>45743</v>
      </c>
      <c r="C271" s="95">
        <v>394348.59</v>
      </c>
      <c r="D271" s="29">
        <v>0</v>
      </c>
      <c r="E271" s="30">
        <f t="shared" si="42"/>
        <v>394348.59</v>
      </c>
      <c r="F271" s="28">
        <v>39157</v>
      </c>
      <c r="G271" s="28">
        <f t="shared" si="43"/>
        <v>10.070960236994663</v>
      </c>
      <c r="H271" s="65">
        <f t="shared" si="46"/>
        <v>-3.1134268095318607E-3</v>
      </c>
      <c r="I271" s="72">
        <f t="shared" si="44"/>
        <v>-5.0603709888072723E-2</v>
      </c>
      <c r="J271" s="95">
        <v>155.58000000000001</v>
      </c>
      <c r="K271" s="65">
        <f t="shared" si="47"/>
        <v>-2.5644313373508476E-3</v>
      </c>
      <c r="L271" s="72">
        <f t="shared" si="45"/>
        <v>5.1446945337629835E-4</v>
      </c>
    </row>
    <row r="272" spans="1:12" ht="15.75" hidden="1" thickBot="1" x14ac:dyDescent="0.3">
      <c r="A272">
        <v>1</v>
      </c>
      <c r="B272" s="27">
        <v>45744</v>
      </c>
      <c r="C272" s="95">
        <v>388498.17</v>
      </c>
      <c r="D272" s="29">
        <v>0</v>
      </c>
      <c r="E272" s="30">
        <f t="shared" si="42"/>
        <v>388498.17</v>
      </c>
      <c r="F272" s="28">
        <v>39157</v>
      </c>
      <c r="G272" s="28">
        <f t="shared" si="43"/>
        <v>9.9215509359756879</v>
      </c>
      <c r="H272" s="65">
        <f t="shared" si="46"/>
        <v>-1.4835655935780068E-2</v>
      </c>
      <c r="I272" s="72">
        <f t="shared" si="44"/>
        <v>-6.4688626594879395E-2</v>
      </c>
      <c r="J272">
        <v>152.88</v>
      </c>
      <c r="K272" s="65">
        <f t="shared" si="47"/>
        <v>-1.7354415734670336E-2</v>
      </c>
      <c r="L272" s="72">
        <f t="shared" si="45"/>
        <v>-1.6848874598070718E-2</v>
      </c>
    </row>
    <row r="273" spans="1:12" ht="15.75" hidden="1" thickBot="1" x14ac:dyDescent="0.3">
      <c r="A273">
        <v>1</v>
      </c>
      <c r="B273" s="27">
        <v>45745</v>
      </c>
      <c r="C273" s="95">
        <v>388498.17</v>
      </c>
      <c r="D273" s="29">
        <v>0</v>
      </c>
      <c r="E273" s="30">
        <f t="shared" si="42"/>
        <v>388498.17</v>
      </c>
      <c r="F273" s="28">
        <v>39157</v>
      </c>
      <c r="G273" s="28">
        <f t="shared" si="43"/>
        <v>9.9215509359756879</v>
      </c>
      <c r="H273" s="65">
        <f t="shared" si="46"/>
        <v>0</v>
      </c>
      <c r="I273" s="72">
        <f t="shared" si="44"/>
        <v>-6.4688626594879395E-2</v>
      </c>
      <c r="J273">
        <v>152.88</v>
      </c>
      <c r="K273" s="65">
        <f t="shared" si="47"/>
        <v>0</v>
      </c>
      <c r="L273" s="72">
        <f t="shared" si="45"/>
        <v>-1.6848874598070718E-2</v>
      </c>
    </row>
    <row r="274" spans="1:12" ht="15.75" hidden="1" thickBot="1" x14ac:dyDescent="0.3">
      <c r="A274">
        <v>1</v>
      </c>
      <c r="B274" s="27">
        <v>45746</v>
      </c>
      <c r="C274" s="95">
        <v>388498.17</v>
      </c>
      <c r="D274" s="29">
        <v>0</v>
      </c>
      <c r="E274" s="30">
        <f t="shared" si="42"/>
        <v>388498.17</v>
      </c>
      <c r="F274" s="28">
        <v>39157</v>
      </c>
      <c r="G274" s="28">
        <f t="shared" si="43"/>
        <v>9.9215509359756879</v>
      </c>
      <c r="H274" s="65">
        <f t="shared" si="46"/>
        <v>0</v>
      </c>
      <c r="I274" s="72">
        <f t="shared" si="44"/>
        <v>-6.4688626594879395E-2</v>
      </c>
      <c r="J274">
        <v>152.88</v>
      </c>
      <c r="K274" s="65">
        <f t="shared" si="47"/>
        <v>0</v>
      </c>
      <c r="L274" s="72">
        <f t="shared" si="45"/>
        <v>-1.6848874598070718E-2</v>
      </c>
    </row>
    <row r="275" spans="1:12" ht="15.75" hidden="1" thickBot="1" x14ac:dyDescent="0.3">
      <c r="A275">
        <v>1</v>
      </c>
      <c r="B275" s="27">
        <v>45747</v>
      </c>
      <c r="C275" s="95">
        <v>388002.62</v>
      </c>
      <c r="D275" s="29">
        <v>0</v>
      </c>
      <c r="E275" s="30">
        <f t="shared" si="42"/>
        <v>388002.62</v>
      </c>
      <c r="F275" s="28">
        <v>39157</v>
      </c>
      <c r="G275" s="28">
        <f t="shared" si="43"/>
        <v>9.9088954720739579</v>
      </c>
      <c r="H275" s="65">
        <f t="shared" si="46"/>
        <v>-1.2755529839433288E-3</v>
      </c>
      <c r="I275" s="72">
        <f t="shared" si="44"/>
        <v>-6.5881665808142476E-2</v>
      </c>
      <c r="J275">
        <v>153.18</v>
      </c>
      <c r="K275" s="65">
        <f t="shared" si="47"/>
        <v>1.9623233908949711E-3</v>
      </c>
      <c r="L275" s="72">
        <f t="shared" si="45"/>
        <v>-1.4919614147909877E-2</v>
      </c>
    </row>
    <row r="276" spans="1:12" ht="15.75" hidden="1" thickBot="1" x14ac:dyDescent="0.3">
      <c r="A276">
        <v>2</v>
      </c>
      <c r="B276" s="27">
        <v>45748</v>
      </c>
      <c r="C276" s="95">
        <v>397600.97000000003</v>
      </c>
      <c r="D276" s="29">
        <v>0</v>
      </c>
      <c r="E276" s="30">
        <f t="shared" si="42"/>
        <v>397600.97000000003</v>
      </c>
      <c r="F276" s="28">
        <v>39157</v>
      </c>
      <c r="G276" s="28">
        <f t="shared" si="43"/>
        <v>10.154020226268612</v>
      </c>
      <c r="H276" s="65">
        <f t="shared" si="46"/>
        <v>2.4737848419683628E-2</v>
      </c>
      <c r="I276" s="72">
        <f t="shared" si="44"/>
        <v>-4.2773588050856959E-2</v>
      </c>
      <c r="J276">
        <v>153.52000000000001</v>
      </c>
      <c r="K276" s="65">
        <f t="shared" si="47"/>
        <v>2.219610915263015E-3</v>
      </c>
      <c r="L276" s="72">
        <f t="shared" si="45"/>
        <v>-1.2733118971060997E-2</v>
      </c>
    </row>
    <row r="277" spans="1:12" ht="15.75" hidden="1" thickBot="1" x14ac:dyDescent="0.3">
      <c r="A277">
        <v>2</v>
      </c>
      <c r="B277" s="27">
        <v>45749</v>
      </c>
      <c r="C277" s="95">
        <v>398123.4</v>
      </c>
      <c r="D277" s="29">
        <v>0</v>
      </c>
      <c r="E277" s="30">
        <f t="shared" si="42"/>
        <v>398123.4</v>
      </c>
      <c r="F277" s="28">
        <v>39157</v>
      </c>
      <c r="G277" s="28">
        <f t="shared" si="43"/>
        <v>10.167362157468652</v>
      </c>
      <c r="H277" s="65">
        <f t="shared" si="46"/>
        <v>1.3139555469394715E-3</v>
      </c>
      <c r="I277" s="72">
        <f t="shared" si="44"/>
        <v>-4.1515835097199583E-2</v>
      </c>
      <c r="J277">
        <v>154.63</v>
      </c>
      <c r="K277" s="65">
        <f t="shared" si="47"/>
        <v>7.2303282959873538E-3</v>
      </c>
      <c r="L277" s="72">
        <f t="shared" si="45"/>
        <v>-5.5948553054662176E-3</v>
      </c>
    </row>
    <row r="278" spans="1:12" ht="15.75" hidden="1" thickBot="1" x14ac:dyDescent="0.3">
      <c r="A278">
        <v>2</v>
      </c>
      <c r="B278" s="27">
        <v>45750</v>
      </c>
      <c r="C278" s="95">
        <v>387694.68000000011</v>
      </c>
      <c r="D278" s="29">
        <v>0</v>
      </c>
      <c r="E278" s="30">
        <f t="shared" si="42"/>
        <v>387694.68000000011</v>
      </c>
      <c r="F278" s="28">
        <v>39157</v>
      </c>
      <c r="G278" s="28">
        <f t="shared" si="43"/>
        <v>9.9010312332405466</v>
      </c>
      <c r="H278" s="65">
        <f t="shared" si="46"/>
        <v>-2.6194692399391539E-2</v>
      </c>
      <c r="I278" s="72">
        <f t="shared" si="44"/>
        <v>-6.6623032966516171E-2</v>
      </c>
      <c r="J278">
        <v>148.28</v>
      </c>
      <c r="K278" s="65">
        <f t="shared" si="47"/>
        <v>-4.1065769902347449E-2</v>
      </c>
      <c r="L278" s="72">
        <f t="shared" si="45"/>
        <v>-4.6430868167202544E-2</v>
      </c>
    </row>
    <row r="279" spans="1:12" ht="15.75" hidden="1" thickBot="1" x14ac:dyDescent="0.3">
      <c r="A279">
        <v>2</v>
      </c>
      <c r="B279" s="27">
        <v>45751</v>
      </c>
      <c r="C279" s="95">
        <v>372936.32000000007</v>
      </c>
      <c r="D279" s="29">
        <v>0</v>
      </c>
      <c r="E279" s="30">
        <f t="shared" si="42"/>
        <v>372936.32000000007</v>
      </c>
      <c r="F279" s="28">
        <v>39157</v>
      </c>
      <c r="G279" s="28">
        <f t="shared" si="43"/>
        <v>9.5241290190770513</v>
      </c>
      <c r="H279" s="65">
        <f t="shared" si="46"/>
        <v>-3.8066965479123915E-2</v>
      </c>
      <c r="I279" s="72">
        <f t="shared" si="44"/>
        <v>-0.10215386174958907</v>
      </c>
      <c r="J279">
        <v>139.25</v>
      </c>
      <c r="K279" s="65">
        <f t="shared" si="47"/>
        <v>-6.0898300512543857E-2</v>
      </c>
      <c r="L279" s="72">
        <f t="shared" si="45"/>
        <v>-0.10450160771704176</v>
      </c>
    </row>
    <row r="280" spans="1:12" ht="15.75" hidden="1" thickBot="1" x14ac:dyDescent="0.3">
      <c r="A280">
        <v>2</v>
      </c>
      <c r="B280" s="27">
        <v>45752</v>
      </c>
      <c r="C280" s="95">
        <v>372936.32000000007</v>
      </c>
      <c r="D280" s="29">
        <v>0</v>
      </c>
      <c r="E280" s="30">
        <f t="shared" si="42"/>
        <v>372936.32000000007</v>
      </c>
      <c r="F280" s="28">
        <v>39157</v>
      </c>
      <c r="G280" s="28">
        <f t="shared" si="43"/>
        <v>9.5241290190770513</v>
      </c>
      <c r="H280" s="65">
        <f t="shared" si="46"/>
        <v>0</v>
      </c>
      <c r="I280" s="72">
        <f t="shared" si="44"/>
        <v>-0.10215386174958907</v>
      </c>
      <c r="J280">
        <v>139.25</v>
      </c>
      <c r="K280" s="65">
        <f t="shared" si="47"/>
        <v>0</v>
      </c>
      <c r="L280" s="72">
        <f t="shared" si="45"/>
        <v>-0.10450160771704176</v>
      </c>
    </row>
    <row r="281" spans="1:12" ht="15.75" hidden="1" thickBot="1" x14ac:dyDescent="0.3">
      <c r="A281">
        <v>2</v>
      </c>
      <c r="B281" s="27">
        <v>45753</v>
      </c>
      <c r="C281" s="95">
        <v>372936.32000000007</v>
      </c>
      <c r="D281" s="29">
        <v>0</v>
      </c>
      <c r="E281" s="30">
        <f t="shared" si="42"/>
        <v>372936.32000000007</v>
      </c>
      <c r="F281" s="28">
        <v>39157</v>
      </c>
      <c r="G281" s="28">
        <f t="shared" si="43"/>
        <v>9.5241290190770513</v>
      </c>
      <c r="H281" s="65">
        <f t="shared" si="46"/>
        <v>0</v>
      </c>
      <c r="I281" s="72">
        <f t="shared" si="44"/>
        <v>-0.10215386174958907</v>
      </c>
      <c r="J281">
        <v>139.25</v>
      </c>
      <c r="K281" s="65">
        <f t="shared" si="47"/>
        <v>0</v>
      </c>
      <c r="L281" s="72">
        <f t="shared" si="45"/>
        <v>-0.10450160771704176</v>
      </c>
    </row>
    <row r="282" spans="1:12" ht="15.75" hidden="1" thickBot="1" x14ac:dyDescent="0.3">
      <c r="A282">
        <v>2</v>
      </c>
      <c r="B282" s="27">
        <v>45754</v>
      </c>
      <c r="C282" s="95">
        <v>369631.08500000008</v>
      </c>
      <c r="D282" s="29">
        <v>0</v>
      </c>
      <c r="E282" s="30">
        <f t="shared" si="42"/>
        <v>369631.08500000008</v>
      </c>
      <c r="F282" s="28">
        <v>39157</v>
      </c>
      <c r="G282" s="28">
        <f t="shared" si="43"/>
        <v>9.4397192072937166</v>
      </c>
      <c r="H282" s="65">
        <f t="shared" si="46"/>
        <v>-8.8627329191215409E-3</v>
      </c>
      <c r="I282" s="72">
        <f t="shared" si="44"/>
        <v>-0.11011123227536712</v>
      </c>
      <c r="J282">
        <v>138.01</v>
      </c>
      <c r="K282" s="65">
        <f t="shared" si="47"/>
        <v>-8.9048473967684449E-3</v>
      </c>
      <c r="L282" s="72">
        <f t="shared" si="45"/>
        <v>-0.11247588424437305</v>
      </c>
    </row>
    <row r="283" spans="1:12" ht="15.75" hidden="1" thickBot="1" x14ac:dyDescent="0.3">
      <c r="A283">
        <v>2</v>
      </c>
      <c r="B283" s="27">
        <v>45755</v>
      </c>
      <c r="C283" s="95">
        <v>366953.59</v>
      </c>
      <c r="D283" s="29">
        <v>0</v>
      </c>
      <c r="E283" s="30">
        <f t="shared" si="42"/>
        <v>366953.59</v>
      </c>
      <c r="F283" s="28">
        <v>39157</v>
      </c>
      <c r="G283" s="28">
        <f t="shared" si="43"/>
        <v>9.3713407564420166</v>
      </c>
      <c r="H283" s="65">
        <f t="shared" si="46"/>
        <v>-7.2436954267524056E-3</v>
      </c>
      <c r="I283" s="72">
        <f t="shared" si="44"/>
        <v>-0.11655731547245241</v>
      </c>
      <c r="J283" s="157">
        <v>136.30000000000001</v>
      </c>
      <c r="K283" s="65">
        <f t="shared" si="47"/>
        <v>-1.2390406492283068E-2</v>
      </c>
      <c r="L283" s="72">
        <f t="shared" si="45"/>
        <v>-0.12347266881028929</v>
      </c>
    </row>
    <row r="284" spans="1:12" ht="15.75" hidden="1" thickBot="1" x14ac:dyDescent="0.3">
      <c r="A284">
        <v>2</v>
      </c>
      <c r="B284" s="27">
        <v>45756</v>
      </c>
      <c r="C284" s="95">
        <v>388069.54000000004</v>
      </c>
      <c r="D284" s="29">
        <v>0</v>
      </c>
      <c r="E284" s="30">
        <f t="shared" si="42"/>
        <v>388069.54000000004</v>
      </c>
      <c r="F284" s="28">
        <v>39157</v>
      </c>
      <c r="G284" s="28">
        <f t="shared" si="43"/>
        <v>9.9106044896187147</v>
      </c>
      <c r="H284" s="65">
        <f t="shared" si="46"/>
        <v>5.7543925377593341E-2</v>
      </c>
      <c r="I284" s="72">
        <f t="shared" si="44"/>
        <v>-6.5720555558618443E-2</v>
      </c>
      <c r="J284" s="157">
        <v>148.47999999999999</v>
      </c>
      <c r="K284" s="65">
        <f t="shared" si="47"/>
        <v>8.936170212765937E-2</v>
      </c>
      <c r="L284" s="72">
        <f t="shared" si="45"/>
        <v>-4.5144694533762131E-2</v>
      </c>
    </row>
    <row r="285" spans="1:12" ht="15.75" hidden="1" thickBot="1" x14ac:dyDescent="0.3">
      <c r="A285">
        <v>2</v>
      </c>
      <c r="B285" s="27">
        <v>45757</v>
      </c>
      <c r="C285" s="95">
        <v>382174.44000000006</v>
      </c>
      <c r="D285" s="29">
        <v>0</v>
      </c>
      <c r="E285" s="30">
        <f t="shared" si="42"/>
        <v>382174.44000000006</v>
      </c>
      <c r="F285" s="28">
        <v>39157</v>
      </c>
      <c r="G285" s="28">
        <f t="shared" si="43"/>
        <v>9.7600541410220405</v>
      </c>
      <c r="H285" s="65">
        <f t="shared" si="46"/>
        <v>-1.5190834096383776E-2</v>
      </c>
      <c r="I285" s="72">
        <f t="shared" si="44"/>
        <v>-7.9913039598789148E-2</v>
      </c>
      <c r="J285" s="205">
        <v>144.1</v>
      </c>
      <c r="K285" s="65">
        <f t="shared" si="47"/>
        <v>-2.9498922413793038E-2</v>
      </c>
      <c r="L285" s="72">
        <f t="shared" si="45"/>
        <v>-7.3311897106109414E-2</v>
      </c>
    </row>
    <row r="286" spans="1:12" ht="15.75" hidden="1" thickBot="1" x14ac:dyDescent="0.3">
      <c r="A286">
        <v>2</v>
      </c>
      <c r="B286" s="27">
        <v>45758</v>
      </c>
      <c r="C286" s="204">
        <v>386829.15</v>
      </c>
      <c r="D286" s="29">
        <v>0</v>
      </c>
      <c r="E286" s="30">
        <f t="shared" si="42"/>
        <v>386829.15</v>
      </c>
      <c r="F286" s="28">
        <v>39157</v>
      </c>
      <c r="G286" s="28">
        <f t="shared" si="43"/>
        <v>9.8789271394642082</v>
      </c>
      <c r="H286" s="65">
        <f t="shared" si="46"/>
        <v>1.2179542933326459E-2</v>
      </c>
      <c r="I286" s="72">
        <f t="shared" si="44"/>
        <v>-6.8706800962188841E-2</v>
      </c>
      <c r="J286" s="205">
        <v>146.91999999999999</v>
      </c>
      <c r="K286" s="65">
        <f t="shared" si="47"/>
        <v>1.9569743233865289E-2</v>
      </c>
      <c r="L286" s="72">
        <f t="shared" si="45"/>
        <v>-5.5176848874598172E-2</v>
      </c>
    </row>
    <row r="287" spans="1:12" ht="15.75" hidden="1" thickBot="1" x14ac:dyDescent="0.3">
      <c r="A287">
        <v>2</v>
      </c>
      <c r="B287" s="27">
        <v>45759</v>
      </c>
      <c r="C287" s="204">
        <v>386829.15</v>
      </c>
      <c r="D287" s="29">
        <v>0</v>
      </c>
      <c r="E287" s="30">
        <f t="shared" si="42"/>
        <v>386829.15</v>
      </c>
      <c r="F287" s="28">
        <v>39157</v>
      </c>
      <c r="G287" s="28">
        <f t="shared" si="43"/>
        <v>9.8789271394642082</v>
      </c>
      <c r="H287" s="65">
        <f t="shared" si="46"/>
        <v>0</v>
      </c>
      <c r="I287" s="72">
        <f t="shared" si="44"/>
        <v>-6.8706800962188841E-2</v>
      </c>
      <c r="J287" s="205">
        <v>146.91999999999999</v>
      </c>
      <c r="K287" s="65">
        <f t="shared" si="47"/>
        <v>0</v>
      </c>
      <c r="L287" s="72">
        <f t="shared" si="45"/>
        <v>-5.5176848874598172E-2</v>
      </c>
    </row>
    <row r="288" spans="1:12" ht="15.75" hidden="1" thickBot="1" x14ac:dyDescent="0.3">
      <c r="A288">
        <v>2</v>
      </c>
      <c r="B288" s="27">
        <v>45760</v>
      </c>
      <c r="C288" s="204">
        <v>386829.15</v>
      </c>
      <c r="D288" s="29">
        <v>0</v>
      </c>
      <c r="E288" s="30">
        <f t="shared" si="42"/>
        <v>386829.15</v>
      </c>
      <c r="F288" s="28">
        <v>39157</v>
      </c>
      <c r="G288" s="28">
        <f t="shared" si="43"/>
        <v>9.8789271394642082</v>
      </c>
      <c r="H288" s="65">
        <f t="shared" si="46"/>
        <v>0</v>
      </c>
      <c r="I288" s="72">
        <f t="shared" si="44"/>
        <v>-6.8706800962188841E-2</v>
      </c>
      <c r="J288" s="205">
        <v>146.91999999999999</v>
      </c>
      <c r="K288" s="65">
        <f t="shared" si="47"/>
        <v>0</v>
      </c>
      <c r="L288" s="72">
        <f t="shared" si="45"/>
        <v>-5.5176848874598172E-2</v>
      </c>
    </row>
    <row r="289" spans="1:12" ht="15.75" hidden="1" thickBot="1" x14ac:dyDescent="0.3">
      <c r="A289">
        <v>2</v>
      </c>
      <c r="B289" s="27">
        <v>45761</v>
      </c>
      <c r="C289" s="95">
        <v>388718.33000000007</v>
      </c>
      <c r="D289" s="29">
        <v>0</v>
      </c>
      <c r="E289" s="30">
        <f t="shared" si="42"/>
        <v>388718.33000000007</v>
      </c>
      <c r="F289" s="28">
        <v>39157</v>
      </c>
      <c r="G289" s="28">
        <f t="shared" si="43"/>
        <v>9.927173430038053</v>
      </c>
      <c r="H289" s="65">
        <f t="shared" si="46"/>
        <v>4.883758113885861E-3</v>
      </c>
      <c r="I289" s="72">
        <f t="shared" si="44"/>
        <v>-6.4158590244981273E-2</v>
      </c>
      <c r="J289" s="205">
        <v>148.27000000000001</v>
      </c>
      <c r="K289" s="65">
        <f t="shared" si="47"/>
        <v>9.1886741083584411E-3</v>
      </c>
      <c r="L289" s="72">
        <f t="shared" si="45"/>
        <v>-4.6495176848874498E-2</v>
      </c>
    </row>
    <row r="290" spans="1:12" ht="15.75" hidden="1" thickBot="1" x14ac:dyDescent="0.3">
      <c r="A290">
        <v>2</v>
      </c>
      <c r="B290" s="27">
        <v>45762</v>
      </c>
      <c r="C290" s="206">
        <v>388985.77200000006</v>
      </c>
      <c r="D290" s="29">
        <v>0</v>
      </c>
      <c r="E290" s="30">
        <f t="shared" si="42"/>
        <v>388985.77200000006</v>
      </c>
      <c r="F290" s="28">
        <v>39157</v>
      </c>
      <c r="G290" s="28">
        <f t="shared" si="43"/>
        <v>9.9340034221212061</v>
      </c>
      <c r="H290" s="65">
        <f t="shared" si="46"/>
        <v>6.880097473149771E-4</v>
      </c>
      <c r="I290" s="72">
        <f t="shared" si="44"/>
        <v>-6.3514722233128706E-2</v>
      </c>
      <c r="J290" s="205">
        <v>148.44999999999999</v>
      </c>
      <c r="K290" s="65">
        <f t="shared" si="47"/>
        <v>1.21400148377937E-3</v>
      </c>
      <c r="L290" s="72">
        <f t="shared" si="45"/>
        <v>-4.5337620578778215E-2</v>
      </c>
    </row>
    <row r="291" spans="1:12" ht="15.75" hidden="1" thickBot="1" x14ac:dyDescent="0.3">
      <c r="A291">
        <v>2</v>
      </c>
      <c r="B291" s="27">
        <v>45763</v>
      </c>
      <c r="C291" s="95">
        <v>386543.1100000001</v>
      </c>
      <c r="D291" s="29">
        <v>0</v>
      </c>
      <c r="E291" s="30">
        <f t="shared" si="42"/>
        <v>386543.1100000001</v>
      </c>
      <c r="F291" s="28">
        <v>39157</v>
      </c>
      <c r="G291" s="28">
        <f t="shared" si="43"/>
        <v>9.8716221876037515</v>
      </c>
      <c r="H291" s="65">
        <f t="shared" si="46"/>
        <v>-6.2795664413143326E-3</v>
      </c>
      <c r="I291" s="72">
        <f t="shared" si="44"/>
        <v>-6.9395443756178565E-2</v>
      </c>
      <c r="J291" s="205">
        <v>146.04</v>
      </c>
      <c r="K291" s="65">
        <f t="shared" si="47"/>
        <v>-1.6234422364432399E-2</v>
      </c>
      <c r="L291" s="72">
        <f t="shared" si="45"/>
        <v>-6.0836012861736344E-2</v>
      </c>
    </row>
    <row r="292" spans="1:12" ht="15.75" hidden="1" thickBot="1" x14ac:dyDescent="0.3">
      <c r="A292">
        <v>2</v>
      </c>
      <c r="B292" s="27">
        <v>45764</v>
      </c>
      <c r="C292" s="95">
        <v>387540.73000000004</v>
      </c>
      <c r="D292" s="29">
        <v>0</v>
      </c>
      <c r="E292" s="30">
        <f t="shared" si="42"/>
        <v>387540.73000000004</v>
      </c>
      <c r="F292" s="28">
        <v>39157</v>
      </c>
      <c r="G292" s="28">
        <f t="shared" si="43"/>
        <v>9.897099624588197</v>
      </c>
      <c r="H292" s="65">
        <f t="shared" si="46"/>
        <v>2.5808764254002803E-3</v>
      </c>
      <c r="I292" s="72">
        <f t="shared" si="44"/>
        <v>-6.6993668395598727E-2</v>
      </c>
      <c r="J292" s="205">
        <v>146.66999999999999</v>
      </c>
      <c r="K292" s="65">
        <f t="shared" si="47"/>
        <v>4.3138866064091896E-3</v>
      </c>
      <c r="L292" s="72">
        <f t="shared" si="45"/>
        <v>-5.6784565916398799E-2</v>
      </c>
    </row>
    <row r="293" spans="1:12" ht="15.75" hidden="1" thickBot="1" x14ac:dyDescent="0.3">
      <c r="A293">
        <v>2</v>
      </c>
      <c r="B293" s="27">
        <v>45765</v>
      </c>
      <c r="C293" s="95">
        <v>387540.73000000004</v>
      </c>
      <c r="D293" s="29">
        <v>0</v>
      </c>
      <c r="E293" s="30">
        <f t="shared" si="42"/>
        <v>387540.73000000004</v>
      </c>
      <c r="F293" s="28">
        <v>39157</v>
      </c>
      <c r="G293" s="28">
        <f t="shared" si="43"/>
        <v>9.897099624588197</v>
      </c>
      <c r="H293" s="65">
        <f t="shared" si="46"/>
        <v>0</v>
      </c>
      <c r="I293" s="72">
        <f t="shared" si="44"/>
        <v>-6.6993668395598727E-2</v>
      </c>
      <c r="J293" s="207">
        <v>146.66999999999999</v>
      </c>
      <c r="K293" s="65">
        <f t="shared" si="47"/>
        <v>0</v>
      </c>
      <c r="L293" s="72">
        <f t="shared" si="45"/>
        <v>-5.6784565916398799E-2</v>
      </c>
    </row>
    <row r="294" spans="1:12" ht="15.75" hidden="1" thickBot="1" x14ac:dyDescent="0.3">
      <c r="A294">
        <v>2</v>
      </c>
      <c r="B294" s="27">
        <v>45766</v>
      </c>
      <c r="C294" s="95">
        <v>387540.73000000004</v>
      </c>
      <c r="D294" s="29">
        <v>0</v>
      </c>
      <c r="E294" s="30">
        <f t="shared" si="42"/>
        <v>387540.73000000004</v>
      </c>
      <c r="F294" s="28">
        <v>39157</v>
      </c>
      <c r="G294" s="28">
        <f t="shared" si="43"/>
        <v>9.897099624588197</v>
      </c>
      <c r="H294" s="65">
        <f t="shared" si="46"/>
        <v>0</v>
      </c>
      <c r="I294" s="72">
        <f t="shared" si="44"/>
        <v>-6.6993668395598727E-2</v>
      </c>
      <c r="J294" s="207">
        <v>146.66999999999999</v>
      </c>
      <c r="K294" s="65">
        <f t="shared" si="47"/>
        <v>0</v>
      </c>
      <c r="L294" s="72">
        <f t="shared" si="45"/>
        <v>-5.6784565916398799E-2</v>
      </c>
    </row>
    <row r="295" spans="1:12" ht="15.75" hidden="1" thickBot="1" x14ac:dyDescent="0.3">
      <c r="A295">
        <v>2</v>
      </c>
      <c r="B295" s="27">
        <v>45767</v>
      </c>
      <c r="C295" s="95">
        <v>387540.73000000004</v>
      </c>
      <c r="D295" s="29">
        <v>0</v>
      </c>
      <c r="E295" s="30">
        <f t="shared" si="42"/>
        <v>387540.73000000004</v>
      </c>
      <c r="F295" s="28">
        <v>39157</v>
      </c>
      <c r="G295" s="28">
        <f t="shared" si="43"/>
        <v>9.897099624588197</v>
      </c>
      <c r="H295" s="65">
        <f t="shared" si="46"/>
        <v>0</v>
      </c>
      <c r="I295" s="72">
        <f t="shared" si="44"/>
        <v>-6.6993668395598727E-2</v>
      </c>
      <c r="J295" s="207">
        <v>146.66999999999999</v>
      </c>
      <c r="K295" s="65">
        <f t="shared" si="47"/>
        <v>0</v>
      </c>
      <c r="L295" s="72">
        <f t="shared" si="45"/>
        <v>-5.6784565916398799E-2</v>
      </c>
    </row>
    <row r="296" spans="1:12" ht="15.75" hidden="1" thickBot="1" x14ac:dyDescent="0.3">
      <c r="A296">
        <v>2</v>
      </c>
      <c r="B296" s="27">
        <v>45768</v>
      </c>
      <c r="C296" s="95">
        <v>384929.84</v>
      </c>
      <c r="D296" s="29">
        <v>0</v>
      </c>
      <c r="E296" s="30">
        <f t="shared" si="42"/>
        <v>384929.84</v>
      </c>
      <c r="F296" s="28">
        <v>39157</v>
      </c>
      <c r="G296" s="28">
        <f t="shared" si="43"/>
        <v>9.8304221467426007</v>
      </c>
      <c r="H296" s="65">
        <f t="shared" si="46"/>
        <v>-6.737072513642639E-3</v>
      </c>
      <c r="I296" s="72">
        <f t="shared" si="44"/>
        <v>-7.3279399707305348E-2</v>
      </c>
      <c r="J296" s="207">
        <v>143.97999999999999</v>
      </c>
      <c r="K296" s="65">
        <f t="shared" si="47"/>
        <v>-1.8340492261539443E-2</v>
      </c>
      <c r="L296" s="72">
        <f t="shared" si="45"/>
        <v>-7.408360128617375E-2</v>
      </c>
    </row>
    <row r="297" spans="1:12" ht="15.75" hidden="1" thickBot="1" x14ac:dyDescent="0.3">
      <c r="A297">
        <v>2</v>
      </c>
      <c r="B297" s="27">
        <v>45769</v>
      </c>
      <c r="C297" s="95">
        <v>389623.2544657301</v>
      </c>
      <c r="D297" s="29">
        <v>0</v>
      </c>
      <c r="E297" s="30">
        <f t="shared" si="42"/>
        <v>389623.2544657301</v>
      </c>
      <c r="F297" s="28">
        <v>39157</v>
      </c>
      <c r="G297" s="28">
        <f t="shared" si="43"/>
        <v>9.9502835882659575</v>
      </c>
      <c r="H297" s="65">
        <f t="shared" si="46"/>
        <v>1.2192908883681408E-2</v>
      </c>
      <c r="I297" s="72">
        <f t="shared" si="44"/>
        <v>-6.1979979867305968E-2</v>
      </c>
      <c r="J297" s="207">
        <v>147.38</v>
      </c>
      <c r="K297" s="65">
        <f t="shared" si="47"/>
        <v>2.3614390887623404E-2</v>
      </c>
      <c r="L297" s="72">
        <f t="shared" si="45"/>
        <v>-5.2218649517684956E-2</v>
      </c>
    </row>
    <row r="298" spans="1:12" ht="15.75" hidden="1" thickBot="1" x14ac:dyDescent="0.3">
      <c r="A298">
        <v>2</v>
      </c>
      <c r="B298" s="27">
        <v>45770</v>
      </c>
      <c r="C298" s="95">
        <v>391632.18</v>
      </c>
      <c r="D298" s="29">
        <v>0</v>
      </c>
      <c r="E298" s="30">
        <f t="shared" si="42"/>
        <v>391632.18</v>
      </c>
      <c r="F298" s="28">
        <v>39157</v>
      </c>
      <c r="G298" s="28">
        <f t="shared" si="43"/>
        <v>10.001587966391705</v>
      </c>
      <c r="H298" s="65">
        <f t="shared" si="46"/>
        <v>5.1560719521852594E-3</v>
      </c>
      <c r="I298" s="72">
        <f t="shared" si="44"/>
        <v>-5.7143481150911501E-2</v>
      </c>
      <c r="J298" s="207">
        <v>149.22</v>
      </c>
      <c r="K298" s="65">
        <f t="shared" si="47"/>
        <v>1.2484733342380316E-2</v>
      </c>
      <c r="L298" s="72">
        <f t="shared" si="45"/>
        <v>-4.0385852090032204E-2</v>
      </c>
    </row>
    <row r="299" spans="1:12" ht="15.75" hidden="1" thickBot="1" x14ac:dyDescent="0.3">
      <c r="A299">
        <v>2</v>
      </c>
      <c r="B299" s="27">
        <v>45771</v>
      </c>
      <c r="C299" s="95">
        <v>395357.84790119005</v>
      </c>
      <c r="D299" s="29">
        <v>0</v>
      </c>
      <c r="E299" s="30">
        <f t="shared" si="42"/>
        <v>395357.84790119005</v>
      </c>
      <c r="F299" s="28">
        <v>39157</v>
      </c>
      <c r="G299" s="28">
        <f t="shared" si="43"/>
        <v>10.096734885236103</v>
      </c>
      <c r="H299" s="65">
        <f t="shared" si="46"/>
        <v>9.5131812232336355E-3</v>
      </c>
      <c r="I299" s="72">
        <f t="shared" si="44"/>
        <v>-4.8173916219592883E-2</v>
      </c>
      <c r="J299" s="207">
        <v>152.1</v>
      </c>
      <c r="K299" s="65">
        <f t="shared" si="47"/>
        <v>1.93003618817853E-2</v>
      </c>
      <c r="L299" s="72">
        <f t="shared" si="45"/>
        <v>-2.1864951768488794E-2</v>
      </c>
    </row>
    <row r="300" spans="1:12" ht="15.75" hidden="1" thickBot="1" x14ac:dyDescent="0.3">
      <c r="A300">
        <v>2</v>
      </c>
      <c r="B300" s="27">
        <v>45772</v>
      </c>
      <c r="C300" s="95">
        <v>395561.25239071011</v>
      </c>
      <c r="D300" s="210">
        <v>0</v>
      </c>
      <c r="E300" s="209">
        <f t="shared" si="42"/>
        <v>395561.25239071011</v>
      </c>
      <c r="F300" s="28">
        <v>39157</v>
      </c>
      <c r="G300" s="28">
        <f t="shared" si="43"/>
        <v>10.10192947342008</v>
      </c>
      <c r="H300" s="65">
        <f t="shared" si="46"/>
        <v>5.1448198284109736E-4</v>
      </c>
      <c r="I300" s="72">
        <f t="shared" si="44"/>
        <v>-4.7684218848689564E-2</v>
      </c>
      <c r="J300" s="207">
        <v>153.05000000000001</v>
      </c>
      <c r="K300" s="65">
        <f t="shared" si="47"/>
        <v>6.2458908612756936E-3</v>
      </c>
      <c r="L300" s="72">
        <f t="shared" si="45"/>
        <v>-1.5755627009646278E-2</v>
      </c>
    </row>
    <row r="301" spans="1:12" ht="15.75" hidden="1" thickBot="1" x14ac:dyDescent="0.3">
      <c r="A301">
        <v>2</v>
      </c>
      <c r="B301" s="27">
        <v>45773</v>
      </c>
      <c r="C301" s="95">
        <v>395561.25239071011</v>
      </c>
      <c r="D301" s="210">
        <v>0</v>
      </c>
      <c r="E301" s="209">
        <f t="shared" si="42"/>
        <v>395561.25239071011</v>
      </c>
      <c r="F301" s="28">
        <v>39157</v>
      </c>
      <c r="G301" s="28">
        <f t="shared" si="43"/>
        <v>10.10192947342008</v>
      </c>
      <c r="H301" s="65">
        <f t="shared" si="46"/>
        <v>0</v>
      </c>
      <c r="I301" s="72">
        <f t="shared" si="44"/>
        <v>-4.7684218848689564E-2</v>
      </c>
      <c r="J301" s="207">
        <v>153.05000000000001</v>
      </c>
      <c r="K301" s="65">
        <f t="shared" si="47"/>
        <v>0</v>
      </c>
      <c r="L301" s="72">
        <f t="shared" si="45"/>
        <v>-1.5755627009646278E-2</v>
      </c>
    </row>
    <row r="302" spans="1:12" ht="15.75" hidden="1" thickBot="1" x14ac:dyDescent="0.3">
      <c r="A302">
        <v>2</v>
      </c>
      <c r="B302" s="27">
        <v>45774</v>
      </c>
      <c r="C302" s="95">
        <v>395561.25239071011</v>
      </c>
      <c r="D302" s="210">
        <v>0</v>
      </c>
      <c r="E302" s="209">
        <f t="shared" si="42"/>
        <v>395561.25239071011</v>
      </c>
      <c r="F302" s="28">
        <v>39157</v>
      </c>
      <c r="G302" s="28">
        <f t="shared" si="43"/>
        <v>10.10192947342008</v>
      </c>
      <c r="H302" s="65">
        <f t="shared" si="46"/>
        <v>0</v>
      </c>
      <c r="I302" s="72">
        <f t="shared" si="44"/>
        <v>-4.7684218848689564E-2</v>
      </c>
      <c r="J302" s="207">
        <v>153.05000000000001</v>
      </c>
      <c r="K302" s="65">
        <f t="shared" si="47"/>
        <v>0</v>
      </c>
      <c r="L302" s="72">
        <f t="shared" si="45"/>
        <v>-1.5755627009646278E-2</v>
      </c>
    </row>
    <row r="303" spans="1:12" ht="15.75" hidden="1" thickBot="1" x14ac:dyDescent="0.3">
      <c r="A303">
        <v>2</v>
      </c>
      <c r="B303" s="27">
        <v>45775</v>
      </c>
      <c r="C303" s="95">
        <v>395967.04017455009</v>
      </c>
      <c r="D303" s="210">
        <v>0</v>
      </c>
      <c r="E303" s="209">
        <f t="shared" si="42"/>
        <v>395967.04017455009</v>
      </c>
      <c r="F303" s="28">
        <v>39157</v>
      </c>
      <c r="G303" s="28">
        <f t="shared" si="43"/>
        <v>10.112292570282454</v>
      </c>
      <c r="H303" s="65">
        <f t="shared" si="46"/>
        <v>1.0258532184015401E-3</v>
      </c>
      <c r="I303" s="72">
        <f t="shared" si="44"/>
        <v>-4.6707282639660841E-2</v>
      </c>
      <c r="J303" s="207">
        <v>153.44999999999999</v>
      </c>
      <c r="K303" s="65">
        <f t="shared" si="47"/>
        <v>2.6135249918326497E-3</v>
      </c>
      <c r="L303" s="72">
        <f t="shared" si="45"/>
        <v>-1.3183279742765341E-2</v>
      </c>
    </row>
    <row r="304" spans="1:12" ht="15.75" hidden="1" thickBot="1" x14ac:dyDescent="0.3">
      <c r="A304">
        <v>2</v>
      </c>
      <c r="B304" s="27">
        <v>45776</v>
      </c>
      <c r="C304" s="95">
        <v>398320.72186190006</v>
      </c>
      <c r="D304" s="210">
        <v>0</v>
      </c>
      <c r="E304" s="209">
        <f t="shared" si="42"/>
        <v>398320.72186190006</v>
      </c>
      <c r="F304" s="28">
        <v>39157</v>
      </c>
      <c r="G304" s="28">
        <f t="shared" si="43"/>
        <v>10.172401406182804</v>
      </c>
      <c r="H304" s="65">
        <f t="shared" si="46"/>
        <v>5.9441353661973118E-3</v>
      </c>
      <c r="I304" s="72">
        <f t="shared" si="44"/>
        <v>-4.1040781684061001E-2</v>
      </c>
      <c r="J304" s="207">
        <v>154.18</v>
      </c>
      <c r="K304" s="65">
        <f t="shared" si="47"/>
        <v>4.7572499185404293E-3</v>
      </c>
      <c r="L304" s="72">
        <f t="shared" si="45"/>
        <v>-8.4887459807073684E-3</v>
      </c>
    </row>
    <row r="305" spans="1:12" ht="15.75" hidden="1" thickBot="1" x14ac:dyDescent="0.3">
      <c r="A305">
        <v>2</v>
      </c>
      <c r="B305" s="27">
        <v>45777</v>
      </c>
      <c r="C305" s="95">
        <v>396928.47191436746</v>
      </c>
      <c r="D305" s="210">
        <v>0</v>
      </c>
      <c r="E305" s="209">
        <f t="shared" si="42"/>
        <v>396928.47191436746</v>
      </c>
      <c r="F305" s="28">
        <v>39157</v>
      </c>
      <c r="G305" s="28">
        <f t="shared" si="43"/>
        <v>10.136845823591374</v>
      </c>
      <c r="H305" s="65">
        <f t="shared" si="46"/>
        <v>-3.4952988160513732E-3</v>
      </c>
      <c r="I305" s="72">
        <f t="shared" si="44"/>
        <v>-4.4392630704482294E-2</v>
      </c>
      <c r="J305" s="207">
        <v>154.28</v>
      </c>
      <c r="K305" s="65">
        <f t="shared" si="47"/>
        <v>6.4859255415750106E-4</v>
      </c>
      <c r="L305" s="72">
        <f t="shared" si="45"/>
        <v>-7.845659163987162E-3</v>
      </c>
    </row>
    <row r="306" spans="1:12" ht="15.75" hidden="1" thickBot="1" x14ac:dyDescent="0.3">
      <c r="A306">
        <v>2</v>
      </c>
      <c r="B306" s="27">
        <v>45778</v>
      </c>
      <c r="C306" s="95">
        <v>397460.95613922091</v>
      </c>
      <c r="D306" s="210">
        <v>0</v>
      </c>
      <c r="E306" s="209">
        <f t="shared" si="42"/>
        <v>397460.95613922091</v>
      </c>
      <c r="F306" s="28">
        <v>39157</v>
      </c>
      <c r="G306" s="28">
        <f t="shared" si="43"/>
        <v>10.150444521776972</v>
      </c>
      <c r="H306" s="65">
        <f t="shared" si="46"/>
        <v>1.3415117899839846E-3</v>
      </c>
      <c r="I306" s="72">
        <f t="shared" si="44"/>
        <v>-4.3110672151976726E-2</v>
      </c>
      <c r="J306" s="207">
        <v>154.78</v>
      </c>
      <c r="K306" s="65">
        <f t="shared" si="47"/>
        <v>3.2408607726213123E-3</v>
      </c>
      <c r="L306" s="72">
        <f t="shared" si="45"/>
        <v>-4.6302250803857969E-3</v>
      </c>
    </row>
    <row r="307" spans="1:12" ht="15.75" hidden="1" thickBot="1" x14ac:dyDescent="0.3">
      <c r="A307">
        <v>2</v>
      </c>
      <c r="B307" s="27">
        <v>45779</v>
      </c>
      <c r="C307" s="95">
        <v>401946.51000000007</v>
      </c>
      <c r="D307" s="210">
        <v>0</v>
      </c>
      <c r="E307" s="209">
        <f t="shared" si="42"/>
        <v>401946.51000000007</v>
      </c>
      <c r="F307" s="28">
        <v>39157</v>
      </c>
      <c r="G307" s="28">
        <f t="shared" si="43"/>
        <v>10.264997573869298</v>
      </c>
      <c r="H307" s="65">
        <f t="shared" si="46"/>
        <v>1.1285520732275511E-2</v>
      </c>
      <c r="I307" s="72">
        <f t="shared" si="44"/>
        <v>-3.2311677804054639E-2</v>
      </c>
      <c r="J307" s="207">
        <v>157.21</v>
      </c>
      <c r="K307" s="65">
        <f t="shared" si="47"/>
        <v>1.5699702803979809E-2</v>
      </c>
      <c r="L307" s="72">
        <f t="shared" si="45"/>
        <v>1.0996784565916462E-2</v>
      </c>
    </row>
    <row r="308" spans="1:12" ht="15.75" hidden="1" thickBot="1" x14ac:dyDescent="0.3">
      <c r="A308">
        <v>2</v>
      </c>
      <c r="B308" s="27">
        <v>45780</v>
      </c>
      <c r="C308" s="95">
        <v>401946.51000000007</v>
      </c>
      <c r="D308" s="210">
        <v>0</v>
      </c>
      <c r="E308" s="209">
        <f t="shared" si="42"/>
        <v>401946.51000000007</v>
      </c>
      <c r="F308" s="28">
        <v>39157</v>
      </c>
      <c r="G308" s="28">
        <f t="shared" si="43"/>
        <v>10.264997573869298</v>
      </c>
      <c r="H308" s="65">
        <f t="shared" si="46"/>
        <v>0</v>
      </c>
      <c r="I308" s="72">
        <f t="shared" si="44"/>
        <v>-3.2311677804054639E-2</v>
      </c>
      <c r="J308" s="207">
        <v>157.21</v>
      </c>
      <c r="K308" s="65">
        <f t="shared" si="47"/>
        <v>0</v>
      </c>
      <c r="L308" s="72">
        <f t="shared" si="45"/>
        <v>1.0996784565916462E-2</v>
      </c>
    </row>
    <row r="309" spans="1:12" ht="15.75" hidden="1" thickBot="1" x14ac:dyDescent="0.3">
      <c r="A309">
        <v>2</v>
      </c>
      <c r="B309" s="27">
        <v>45781</v>
      </c>
      <c r="C309" s="95">
        <v>401946.51000000007</v>
      </c>
      <c r="D309" s="210">
        <v>0</v>
      </c>
      <c r="E309" s="209">
        <f t="shared" si="42"/>
        <v>401946.51000000007</v>
      </c>
      <c r="F309" s="28">
        <v>39157</v>
      </c>
      <c r="G309" s="28">
        <f t="shared" si="43"/>
        <v>10.264997573869298</v>
      </c>
      <c r="H309" s="65">
        <f t="shared" si="46"/>
        <v>0</v>
      </c>
      <c r="I309" s="72">
        <f t="shared" si="44"/>
        <v>-3.2311677804054639E-2</v>
      </c>
      <c r="J309" s="207">
        <v>157.21</v>
      </c>
      <c r="K309" s="65">
        <f t="shared" si="47"/>
        <v>0</v>
      </c>
      <c r="L309" s="72">
        <f t="shared" si="45"/>
        <v>1.0996784565916462E-2</v>
      </c>
    </row>
    <row r="310" spans="1:12" ht="15.75" hidden="1" thickBot="1" x14ac:dyDescent="0.3">
      <c r="A310">
        <v>2</v>
      </c>
      <c r="B310" s="27">
        <v>45782</v>
      </c>
      <c r="C310" s="95">
        <v>403068.11848571757</v>
      </c>
      <c r="D310" s="210">
        <v>0</v>
      </c>
      <c r="E310" s="209">
        <f t="shared" si="42"/>
        <v>403068.11848571757</v>
      </c>
      <c r="F310" s="28">
        <v>39157</v>
      </c>
      <c r="G310" s="28">
        <f t="shared" si="43"/>
        <v>10.293641455824439</v>
      </c>
      <c r="H310" s="65">
        <f t="shared" si="46"/>
        <v>2.790442155393924E-3</v>
      </c>
      <c r="I310" s="72">
        <f t="shared" si="44"/>
        <v>-2.9611399516516812E-2</v>
      </c>
      <c r="J310" s="207">
        <v>156.63</v>
      </c>
      <c r="K310" s="65">
        <f t="shared" si="47"/>
        <v>-3.6893327396476661E-3</v>
      </c>
      <c r="L310" s="72">
        <f t="shared" si="45"/>
        <v>7.2668810289389096E-3</v>
      </c>
    </row>
    <row r="311" spans="1:12" ht="15.75" hidden="1" thickBot="1" x14ac:dyDescent="0.3">
      <c r="A311">
        <v>2</v>
      </c>
      <c r="B311" s="27">
        <v>45783</v>
      </c>
      <c r="C311" s="95">
        <v>402666.38000000006</v>
      </c>
      <c r="D311" s="210">
        <v>0</v>
      </c>
      <c r="E311" s="209">
        <f t="shared" si="42"/>
        <v>402666.38000000006</v>
      </c>
      <c r="F311" s="28">
        <v>39157</v>
      </c>
      <c r="G311" s="28">
        <f t="shared" si="43"/>
        <v>10.283381770820034</v>
      </c>
      <c r="H311" s="65">
        <f t="shared" si="46"/>
        <v>-9.9670122069384082E-4</v>
      </c>
      <c r="I311" s="72">
        <f t="shared" si="44"/>
        <v>-3.0578587019166048E-2</v>
      </c>
      <c r="J311" s="207">
        <v>155.71</v>
      </c>
      <c r="K311" s="65">
        <f t="shared" si="47"/>
        <v>-5.873715124816381E-3</v>
      </c>
      <c r="L311" s="72">
        <f t="shared" si="45"/>
        <v>1.3504823151126999E-3</v>
      </c>
    </row>
    <row r="312" spans="1:12" ht="15.75" hidden="1" thickBot="1" x14ac:dyDescent="0.3">
      <c r="A312">
        <v>2</v>
      </c>
      <c r="B312" s="27">
        <v>45784</v>
      </c>
      <c r="C312" s="95">
        <v>402118.9800000001</v>
      </c>
      <c r="D312" s="210">
        <v>0</v>
      </c>
      <c r="E312" s="209">
        <f t="shared" si="42"/>
        <v>402118.9800000001</v>
      </c>
      <c r="F312" s="28">
        <v>39157</v>
      </c>
      <c r="G312" s="28">
        <f t="shared" si="43"/>
        <v>10.269402150317953</v>
      </c>
      <c r="H312" s="65">
        <f t="shared" si="46"/>
        <v>-1.3594380539044826E-3</v>
      </c>
      <c r="I312" s="72">
        <f t="shared" si="44"/>
        <v>-3.1896455378242039E-2</v>
      </c>
      <c r="J312" s="207">
        <v>156.03</v>
      </c>
      <c r="K312" s="65">
        <f t="shared" si="47"/>
        <v>2.0551024340118573E-3</v>
      </c>
      <c r="L312" s="72">
        <f t="shared" si="45"/>
        <v>3.4083601286174492E-3</v>
      </c>
    </row>
    <row r="313" spans="1:12" ht="15.75" hidden="1" thickBot="1" x14ac:dyDescent="0.3">
      <c r="A313">
        <v>2</v>
      </c>
      <c r="B313" s="27">
        <v>45785</v>
      </c>
      <c r="C313" s="95">
        <v>402784.99515808065</v>
      </c>
      <c r="D313" s="210">
        <v>0</v>
      </c>
      <c r="E313" s="209">
        <f t="shared" si="42"/>
        <v>402784.99515808065</v>
      </c>
      <c r="F313" s="28">
        <v>39157</v>
      </c>
      <c r="G313" s="28">
        <f t="shared" si="43"/>
        <v>10.286410990578457</v>
      </c>
      <c r="H313" s="65">
        <f t="shared" si="46"/>
        <v>1.656263919898926E-3</v>
      </c>
      <c r="I313" s="72">
        <f t="shared" si="44"/>
        <v>-3.029302040655879E-2</v>
      </c>
      <c r="J313" s="207">
        <v>156.62</v>
      </c>
      <c r="K313" s="65">
        <f t="shared" si="47"/>
        <v>3.7813241043389567E-3</v>
      </c>
      <c r="L313" s="72">
        <f t="shared" si="45"/>
        <v>7.2025723472668446E-3</v>
      </c>
    </row>
    <row r="314" spans="1:12" ht="15.75" hidden="1" thickBot="1" x14ac:dyDescent="0.3">
      <c r="A314">
        <v>2</v>
      </c>
      <c r="B314" s="27">
        <v>45786</v>
      </c>
      <c r="C314" s="95">
        <v>402567.86649719212</v>
      </c>
      <c r="D314" s="210">
        <v>0</v>
      </c>
      <c r="E314" s="209">
        <f t="shared" ref="E314:E377" si="48">C314-D314</f>
        <v>402567.86649719212</v>
      </c>
      <c r="F314" s="28">
        <v>39157</v>
      </c>
      <c r="G314" s="28">
        <f t="shared" ref="G314:G377" si="49">E314/F314</f>
        <v>10.280865911514981</v>
      </c>
      <c r="H314" s="65">
        <f t="shared" si="46"/>
        <v>-5.3906839504602733E-4</v>
      </c>
      <c r="I314" s="72">
        <f t="shared" ref="I314:I377" si="50">G314/$G$186-1</f>
        <v>-3.0815758791713277E-2</v>
      </c>
      <c r="J314" s="207">
        <v>156.78</v>
      </c>
      <c r="K314" s="65">
        <f t="shared" si="47"/>
        <v>1.0215808964371131E-3</v>
      </c>
      <c r="L314" s="72">
        <f t="shared" ref="L314:L377" si="51">J314/$J$186-1</f>
        <v>8.2315112540192192E-3</v>
      </c>
    </row>
    <row r="315" spans="1:12" ht="15.75" hidden="1" thickBot="1" x14ac:dyDescent="0.3">
      <c r="A315">
        <v>2</v>
      </c>
      <c r="B315" s="27">
        <v>45787</v>
      </c>
      <c r="C315" s="95">
        <v>402567.86649719212</v>
      </c>
      <c r="D315" s="210">
        <v>0</v>
      </c>
      <c r="E315" s="209">
        <f t="shared" si="48"/>
        <v>402567.86649719212</v>
      </c>
      <c r="F315" s="28">
        <v>39157</v>
      </c>
      <c r="G315" s="28">
        <f t="shared" si="49"/>
        <v>10.280865911514981</v>
      </c>
      <c r="H315" s="65">
        <f t="shared" ref="H315:H378" si="52">G315/G314 -1</f>
        <v>0</v>
      </c>
      <c r="I315" s="72">
        <f t="shared" si="50"/>
        <v>-3.0815758791713277E-2</v>
      </c>
      <c r="J315" s="207">
        <v>156.78</v>
      </c>
      <c r="K315" s="65">
        <f t="shared" ref="K315:K378" si="53">J315/J314 -1</f>
        <v>0</v>
      </c>
      <c r="L315" s="72">
        <f t="shared" si="51"/>
        <v>8.2315112540192192E-3</v>
      </c>
    </row>
    <row r="316" spans="1:12" ht="15.75" hidden="1" thickBot="1" x14ac:dyDescent="0.3">
      <c r="A316">
        <v>2</v>
      </c>
      <c r="B316" s="27">
        <v>45788</v>
      </c>
      <c r="C316" s="95">
        <v>402567.86649719212</v>
      </c>
      <c r="D316" s="210">
        <v>0</v>
      </c>
      <c r="E316" s="209">
        <f t="shared" si="48"/>
        <v>402567.86649719212</v>
      </c>
      <c r="F316" s="28">
        <v>39157</v>
      </c>
      <c r="G316" s="28">
        <f t="shared" si="49"/>
        <v>10.280865911514981</v>
      </c>
      <c r="H316" s="65">
        <f t="shared" si="52"/>
        <v>0</v>
      </c>
      <c r="I316" s="72">
        <f t="shared" si="50"/>
        <v>-3.0815758791713277E-2</v>
      </c>
      <c r="J316" s="207">
        <v>156.78</v>
      </c>
      <c r="K316" s="65">
        <f t="shared" si="53"/>
        <v>0</v>
      </c>
      <c r="L316" s="72">
        <f t="shared" si="51"/>
        <v>8.2315112540192192E-3</v>
      </c>
    </row>
    <row r="317" spans="1:12" ht="15.75" hidden="1" thickBot="1" x14ac:dyDescent="0.3">
      <c r="A317">
        <v>2</v>
      </c>
      <c r="B317" s="27">
        <v>45789</v>
      </c>
      <c r="C317" s="95">
        <v>409050.00629623362</v>
      </c>
      <c r="D317" s="210">
        <v>0</v>
      </c>
      <c r="E317" s="209">
        <f t="shared" si="48"/>
        <v>409050.00629623362</v>
      </c>
      <c r="F317" s="28">
        <v>39157</v>
      </c>
      <c r="G317" s="28">
        <f t="shared" si="49"/>
        <v>10.446408210440882</v>
      </c>
      <c r="H317" s="65">
        <f t="shared" si="52"/>
        <v>1.6101980159131113E-2</v>
      </c>
      <c r="I317" s="72">
        <f t="shared" si="50"/>
        <v>-1.5209973369234908E-2</v>
      </c>
      <c r="J317" s="207">
        <v>160.63</v>
      </c>
      <c r="K317" s="65">
        <f t="shared" si="53"/>
        <v>2.4556703661181345E-2</v>
      </c>
      <c r="L317" s="72">
        <f t="shared" si="51"/>
        <v>3.2990353697749164E-2</v>
      </c>
    </row>
    <row r="318" spans="1:12" ht="15.75" hidden="1" thickBot="1" x14ac:dyDescent="0.3">
      <c r="A318">
        <v>2</v>
      </c>
      <c r="B318" s="27">
        <v>45790</v>
      </c>
      <c r="C318" s="95">
        <v>415065.04307373019</v>
      </c>
      <c r="D318" s="210">
        <v>0</v>
      </c>
      <c r="E318" s="209">
        <f t="shared" si="48"/>
        <v>415065.04307373019</v>
      </c>
      <c r="F318" s="28">
        <v>39157</v>
      </c>
      <c r="G318" s="28">
        <f t="shared" si="49"/>
        <v>10.600021530600664</v>
      </c>
      <c r="H318" s="65">
        <f t="shared" si="52"/>
        <v>1.4704893496910287E-2</v>
      </c>
      <c r="I318" s="72">
        <f t="shared" si="50"/>
        <v>-7.2874091081009951E-4</v>
      </c>
      <c r="J318" s="207">
        <v>161.62</v>
      </c>
      <c r="K318" s="65">
        <f t="shared" si="53"/>
        <v>6.1632322729254785E-3</v>
      </c>
      <c r="L318" s="72">
        <f t="shared" si="51"/>
        <v>3.9356913183279829E-2</v>
      </c>
    </row>
    <row r="319" spans="1:12" ht="15.75" hidden="1" thickBot="1" x14ac:dyDescent="0.3">
      <c r="A319">
        <v>2</v>
      </c>
      <c r="B319" s="27">
        <v>45791</v>
      </c>
      <c r="C319" s="95">
        <v>413375.8203335568</v>
      </c>
      <c r="D319" s="210">
        <v>0</v>
      </c>
      <c r="E319" s="209">
        <f t="shared" si="48"/>
        <v>413375.8203335568</v>
      </c>
      <c r="F319" s="28">
        <v>39157</v>
      </c>
      <c r="G319" s="28">
        <f t="shared" si="49"/>
        <v>10.556881792107587</v>
      </c>
      <c r="H319" s="65">
        <f t="shared" si="52"/>
        <v>-4.0697783838021806E-3</v>
      </c>
      <c r="I319" s="72">
        <f t="shared" si="50"/>
        <v>-4.7955534806061184E-3</v>
      </c>
      <c r="J319" s="207">
        <v>161.62</v>
      </c>
      <c r="K319" s="65">
        <f t="shared" si="53"/>
        <v>0</v>
      </c>
      <c r="L319" s="72">
        <f t="shared" si="51"/>
        <v>3.9356913183279829E-2</v>
      </c>
    </row>
    <row r="320" spans="1:12" ht="15.75" hidden="1" thickBot="1" x14ac:dyDescent="0.3">
      <c r="A320">
        <v>2</v>
      </c>
      <c r="B320" s="27">
        <v>45792</v>
      </c>
      <c r="C320" s="95">
        <v>412192.50187622028</v>
      </c>
      <c r="D320" s="210">
        <v>0</v>
      </c>
      <c r="E320" s="209">
        <f t="shared" si="48"/>
        <v>412192.50187622028</v>
      </c>
      <c r="F320" s="28">
        <v>39157</v>
      </c>
      <c r="G320" s="28">
        <f t="shared" si="49"/>
        <v>10.526661947447973</v>
      </c>
      <c r="H320" s="65">
        <f t="shared" si="52"/>
        <v>-2.8625729883805517E-3</v>
      </c>
      <c r="I320" s="72">
        <f t="shared" si="50"/>
        <v>-7.6443988471288637E-3</v>
      </c>
      <c r="J320" s="207">
        <v>162.51</v>
      </c>
      <c r="K320" s="65">
        <f t="shared" si="53"/>
        <v>5.506744214824888E-3</v>
      </c>
      <c r="L320" s="72">
        <f t="shared" si="51"/>
        <v>4.5080385852090066E-2</v>
      </c>
    </row>
    <row r="321" spans="1:12" ht="15.75" hidden="1" thickBot="1" x14ac:dyDescent="0.3">
      <c r="A321">
        <v>2</v>
      </c>
      <c r="B321" s="27">
        <v>45793</v>
      </c>
      <c r="C321" s="95">
        <v>416059.35000000003</v>
      </c>
      <c r="D321" s="210">
        <v>0</v>
      </c>
      <c r="E321" s="209">
        <f t="shared" si="48"/>
        <v>416059.35000000003</v>
      </c>
      <c r="F321" s="28">
        <v>39157</v>
      </c>
      <c r="G321" s="28">
        <f t="shared" si="49"/>
        <v>10.625414357586129</v>
      </c>
      <c r="H321" s="65">
        <f t="shared" si="52"/>
        <v>9.3811704632631443E-3</v>
      </c>
      <c r="I321" s="72">
        <f t="shared" si="50"/>
        <v>1.6650582074602127E-3</v>
      </c>
      <c r="J321" s="207">
        <v>163.51</v>
      </c>
      <c r="K321" s="65">
        <f t="shared" si="53"/>
        <v>6.1534674789243127E-3</v>
      </c>
      <c r="L321" s="72">
        <f t="shared" si="51"/>
        <v>5.1511254019292574E-2</v>
      </c>
    </row>
    <row r="322" spans="1:12" ht="15.75" hidden="1" thickBot="1" x14ac:dyDescent="0.3">
      <c r="A322">
        <v>2</v>
      </c>
      <c r="B322" s="27">
        <v>45794</v>
      </c>
      <c r="C322" s="95">
        <v>416059.35000000003</v>
      </c>
      <c r="D322" s="210">
        <v>0</v>
      </c>
      <c r="E322" s="209">
        <f t="shared" si="48"/>
        <v>416059.35000000003</v>
      </c>
      <c r="F322" s="28">
        <v>39157</v>
      </c>
      <c r="G322" s="28">
        <f t="shared" si="49"/>
        <v>10.625414357586129</v>
      </c>
      <c r="H322" s="65">
        <f t="shared" si="52"/>
        <v>0</v>
      </c>
      <c r="I322" s="72">
        <f t="shared" si="50"/>
        <v>1.6650582074602127E-3</v>
      </c>
      <c r="J322" s="207">
        <v>163.51</v>
      </c>
      <c r="K322" s="65">
        <f t="shared" si="53"/>
        <v>0</v>
      </c>
      <c r="L322" s="72">
        <f t="shared" si="51"/>
        <v>5.1511254019292574E-2</v>
      </c>
    </row>
    <row r="323" spans="1:12" ht="15.75" hidden="1" thickBot="1" x14ac:dyDescent="0.3">
      <c r="A323">
        <v>2</v>
      </c>
      <c r="B323" s="27">
        <v>45795</v>
      </c>
      <c r="C323" s="95">
        <v>416059.35000000003</v>
      </c>
      <c r="D323" s="210">
        <v>0</v>
      </c>
      <c r="E323" s="209">
        <f t="shared" si="48"/>
        <v>416059.35000000003</v>
      </c>
      <c r="F323" s="28">
        <v>39157</v>
      </c>
      <c r="G323" s="28">
        <f t="shared" si="49"/>
        <v>10.625414357586129</v>
      </c>
      <c r="H323" s="65">
        <f t="shared" si="52"/>
        <v>0</v>
      </c>
      <c r="I323" s="72">
        <f t="shared" si="50"/>
        <v>1.6650582074602127E-3</v>
      </c>
      <c r="J323" s="207">
        <v>163.51</v>
      </c>
      <c r="K323" s="65">
        <f t="shared" si="53"/>
        <v>0</v>
      </c>
      <c r="L323" s="72">
        <f t="shared" si="51"/>
        <v>5.1511254019292574E-2</v>
      </c>
    </row>
    <row r="324" spans="1:12" ht="15.75" hidden="1" thickBot="1" x14ac:dyDescent="0.3">
      <c r="A324">
        <v>2</v>
      </c>
      <c r="B324" s="27">
        <v>45796</v>
      </c>
      <c r="C324" s="95">
        <v>414926.0400000001</v>
      </c>
      <c r="D324" s="210">
        <v>0</v>
      </c>
      <c r="E324" s="209">
        <f t="shared" si="48"/>
        <v>414926.0400000001</v>
      </c>
      <c r="F324" s="28">
        <v>39157</v>
      </c>
      <c r="G324" s="28">
        <f t="shared" si="49"/>
        <v>10.596471639808977</v>
      </c>
      <c r="H324" s="65">
        <f t="shared" si="52"/>
        <v>-2.7239142684810647E-3</v>
      </c>
      <c r="I324" s="72">
        <f t="shared" si="50"/>
        <v>-1.063391536829883E-3</v>
      </c>
      <c r="J324" s="207">
        <v>163.93</v>
      </c>
      <c r="K324" s="65">
        <f t="shared" si="53"/>
        <v>2.5686502354596019E-3</v>
      </c>
      <c r="L324" s="72">
        <f t="shared" si="51"/>
        <v>5.4212218649517752E-2</v>
      </c>
    </row>
    <row r="325" spans="1:12" ht="15.75" hidden="1" thickBot="1" x14ac:dyDescent="0.3">
      <c r="A325">
        <v>2</v>
      </c>
      <c r="B325" s="27">
        <v>45797</v>
      </c>
      <c r="C325" s="95">
        <v>414185.41000000015</v>
      </c>
      <c r="D325" s="210">
        <v>0</v>
      </c>
      <c r="E325" s="209">
        <f t="shared" si="48"/>
        <v>414185.41000000015</v>
      </c>
      <c r="F325" s="28">
        <v>39157</v>
      </c>
      <c r="G325" s="28">
        <f t="shared" si="49"/>
        <v>10.577557269453742</v>
      </c>
      <c r="H325" s="65">
        <f t="shared" si="52"/>
        <v>-1.784968713942181E-3</v>
      </c>
      <c r="I325" s="72">
        <f t="shared" si="50"/>
        <v>-2.8464621301481641E-3</v>
      </c>
      <c r="J325" s="207">
        <v>163.76</v>
      </c>
      <c r="K325" s="65">
        <f t="shared" si="53"/>
        <v>-1.0370279997561349E-3</v>
      </c>
      <c r="L325" s="72">
        <f t="shared" si="51"/>
        <v>5.311897106109309E-2</v>
      </c>
    </row>
    <row r="326" spans="1:12" ht="15.75" hidden="1" thickBot="1" x14ac:dyDescent="0.3">
      <c r="A326">
        <v>2</v>
      </c>
      <c r="B326" s="27">
        <v>45798</v>
      </c>
      <c r="C326" s="95">
        <v>407088.80000000005</v>
      </c>
      <c r="D326" s="210">
        <v>0</v>
      </c>
      <c r="E326" s="209">
        <f t="shared" si="48"/>
        <v>407088.80000000005</v>
      </c>
      <c r="F326" s="28">
        <v>39157</v>
      </c>
      <c r="G326" s="28">
        <f t="shared" si="49"/>
        <v>10.396322496616188</v>
      </c>
      <c r="H326" s="65">
        <f t="shared" si="52"/>
        <v>-1.7133896628565681E-2</v>
      </c>
      <c r="I326" s="72">
        <f t="shared" si="50"/>
        <v>-1.9931587770818826E-2</v>
      </c>
      <c r="J326" s="207">
        <v>161.61000000000001</v>
      </c>
      <c r="K326" s="65">
        <f t="shared" si="53"/>
        <v>-1.3128969223253351E-2</v>
      </c>
      <c r="L326" s="72">
        <f t="shared" si="51"/>
        <v>3.9292604501607764E-2</v>
      </c>
    </row>
    <row r="327" spans="1:12" ht="15.75" hidden="1" thickBot="1" x14ac:dyDescent="0.3">
      <c r="A327">
        <v>2</v>
      </c>
      <c r="B327" s="27">
        <v>45799</v>
      </c>
      <c r="C327" s="95">
        <v>406531.41000000003</v>
      </c>
      <c r="D327" s="210">
        <v>0</v>
      </c>
      <c r="E327" s="209">
        <f t="shared" si="48"/>
        <v>406531.41000000003</v>
      </c>
      <c r="F327" s="28">
        <v>39157</v>
      </c>
      <c r="G327" s="28">
        <f t="shared" si="49"/>
        <v>10.382087749316854</v>
      </c>
      <c r="H327" s="65">
        <f t="shared" si="52"/>
        <v>-1.3692098628113047E-3</v>
      </c>
      <c r="I327" s="72">
        <f t="shared" si="50"/>
        <v>-2.1273507107072764E-2</v>
      </c>
      <c r="J327" s="207">
        <v>161.49</v>
      </c>
      <c r="K327" s="65">
        <f t="shared" si="53"/>
        <v>-7.4252830889176558E-4</v>
      </c>
      <c r="L327" s="72">
        <f t="shared" si="51"/>
        <v>3.8520900321543428E-2</v>
      </c>
    </row>
    <row r="328" spans="1:12" ht="15.75" hidden="1" thickBot="1" x14ac:dyDescent="0.3">
      <c r="A328">
        <v>2</v>
      </c>
      <c r="B328" s="27">
        <v>45800</v>
      </c>
      <c r="C328" s="95">
        <v>405977.9200000001</v>
      </c>
      <c r="D328" s="210">
        <v>0</v>
      </c>
      <c r="E328" s="209">
        <f t="shared" si="48"/>
        <v>405977.9200000001</v>
      </c>
      <c r="F328" s="28">
        <v>39157</v>
      </c>
      <c r="G328" s="28">
        <f t="shared" si="49"/>
        <v>10.3679526010675</v>
      </c>
      <c r="H328" s="65">
        <f t="shared" si="52"/>
        <v>-1.3614938142170185E-3</v>
      </c>
      <c r="I328" s="72">
        <f t="shared" si="50"/>
        <v>-2.2606037172956839E-2</v>
      </c>
      <c r="J328" s="207">
        <v>160.96</v>
      </c>
      <c r="K328" s="65">
        <f t="shared" si="53"/>
        <v>-3.2819369620410432E-3</v>
      </c>
      <c r="L328" s="72">
        <f t="shared" si="51"/>
        <v>3.51125401929262E-2</v>
      </c>
    </row>
    <row r="329" spans="1:12" ht="15.75" hidden="1" thickBot="1" x14ac:dyDescent="0.3">
      <c r="A329">
        <v>2</v>
      </c>
      <c r="B329" s="27">
        <v>45801</v>
      </c>
      <c r="C329" s="95">
        <v>405977.9200000001</v>
      </c>
      <c r="D329" s="210">
        <v>0</v>
      </c>
      <c r="E329" s="209">
        <f t="shared" si="48"/>
        <v>405977.9200000001</v>
      </c>
      <c r="F329" s="28">
        <v>39157</v>
      </c>
      <c r="G329" s="28">
        <f t="shared" si="49"/>
        <v>10.3679526010675</v>
      </c>
      <c r="H329" s="65">
        <f t="shared" si="52"/>
        <v>0</v>
      </c>
      <c r="I329" s="72">
        <f t="shared" si="50"/>
        <v>-2.2606037172956839E-2</v>
      </c>
      <c r="J329" s="207">
        <v>160.96</v>
      </c>
      <c r="K329" s="65">
        <f t="shared" si="53"/>
        <v>0</v>
      </c>
      <c r="L329" s="72">
        <f t="shared" si="51"/>
        <v>3.51125401929262E-2</v>
      </c>
    </row>
    <row r="330" spans="1:12" ht="15.75" hidden="1" thickBot="1" x14ac:dyDescent="0.3">
      <c r="A330">
        <v>2</v>
      </c>
      <c r="B330" s="27">
        <v>45802</v>
      </c>
      <c r="C330" s="95">
        <v>405977.9200000001</v>
      </c>
      <c r="D330" s="210">
        <v>0</v>
      </c>
      <c r="E330" s="209">
        <f t="shared" si="48"/>
        <v>405977.9200000001</v>
      </c>
      <c r="F330" s="28">
        <v>39157</v>
      </c>
      <c r="G330" s="28">
        <f t="shared" si="49"/>
        <v>10.3679526010675</v>
      </c>
      <c r="H330" s="65">
        <f t="shared" si="52"/>
        <v>0</v>
      </c>
      <c r="I330" s="72">
        <f t="shared" si="50"/>
        <v>-2.2606037172956839E-2</v>
      </c>
      <c r="J330" s="207">
        <v>160.96</v>
      </c>
      <c r="K330" s="65">
        <f t="shared" si="53"/>
        <v>0</v>
      </c>
      <c r="L330" s="72">
        <f t="shared" si="51"/>
        <v>3.51125401929262E-2</v>
      </c>
    </row>
    <row r="331" spans="1:12" ht="15.75" hidden="1" thickBot="1" x14ac:dyDescent="0.3">
      <c r="A331">
        <v>2</v>
      </c>
      <c r="B331" s="27">
        <v>45803</v>
      </c>
      <c r="C331" s="95">
        <v>405977.9200000001</v>
      </c>
      <c r="D331" s="210">
        <v>0</v>
      </c>
      <c r="E331" s="209">
        <f t="shared" si="48"/>
        <v>405977.9200000001</v>
      </c>
      <c r="F331" s="28">
        <v>39157</v>
      </c>
      <c r="G331" s="28">
        <f t="shared" si="49"/>
        <v>10.3679526010675</v>
      </c>
      <c r="H331" s="65">
        <f t="shared" si="52"/>
        <v>0</v>
      </c>
      <c r="I331" s="72">
        <f t="shared" si="50"/>
        <v>-2.2606037172956839E-2</v>
      </c>
      <c r="J331" s="207">
        <v>160.96</v>
      </c>
      <c r="K331" s="65">
        <f t="shared" si="53"/>
        <v>0</v>
      </c>
      <c r="L331" s="72">
        <f t="shared" si="51"/>
        <v>3.51125401929262E-2</v>
      </c>
    </row>
    <row r="332" spans="1:12" ht="15.75" hidden="1" thickBot="1" x14ac:dyDescent="0.3">
      <c r="A332">
        <v>2</v>
      </c>
      <c r="B332" s="27">
        <v>45804</v>
      </c>
      <c r="C332" s="95">
        <v>412077.35290000006</v>
      </c>
      <c r="D332" s="210">
        <v>0</v>
      </c>
      <c r="E332" s="209">
        <f t="shared" si="48"/>
        <v>412077.35290000006</v>
      </c>
      <c r="F332" s="28">
        <v>39157</v>
      </c>
      <c r="G332" s="28">
        <f t="shared" si="49"/>
        <v>10.523721247797329</v>
      </c>
      <c r="H332" s="65">
        <f t="shared" si="52"/>
        <v>1.5024050815374279E-2</v>
      </c>
      <c r="I332" s="72">
        <f t="shared" si="50"/>
        <v>-7.9216206088034147E-3</v>
      </c>
      <c r="J332" s="207">
        <v>163.83000000000001</v>
      </c>
      <c r="K332" s="65">
        <f t="shared" si="53"/>
        <v>1.7830516898608373E-2</v>
      </c>
      <c r="L332" s="72">
        <f t="shared" si="51"/>
        <v>5.3569131832797545E-2</v>
      </c>
    </row>
    <row r="333" spans="1:12" ht="15.75" hidden="1" thickBot="1" x14ac:dyDescent="0.3">
      <c r="A333">
        <v>2</v>
      </c>
      <c r="B333" s="27">
        <v>45805</v>
      </c>
      <c r="C333" s="95">
        <v>407652.04000000015</v>
      </c>
      <c r="D333" s="210">
        <v>0</v>
      </c>
      <c r="E333" s="209">
        <f t="shared" si="48"/>
        <v>407652.04000000015</v>
      </c>
      <c r="F333" s="28">
        <v>39157</v>
      </c>
      <c r="G333" s="28">
        <f t="shared" si="49"/>
        <v>10.41070664249049</v>
      </c>
      <c r="H333" s="65">
        <f t="shared" si="52"/>
        <v>-1.0739034477038611E-2</v>
      </c>
      <c r="I333" s="72">
        <f t="shared" si="50"/>
        <v>-1.8575584529010092E-2</v>
      </c>
      <c r="J333" s="207">
        <v>162.77000000000001</v>
      </c>
      <c r="K333" s="65">
        <f t="shared" si="53"/>
        <v>-6.4701214673746898E-3</v>
      </c>
      <c r="L333" s="72">
        <f t="shared" si="51"/>
        <v>4.6752411575562869E-2</v>
      </c>
    </row>
    <row r="334" spans="1:12" ht="15.75" hidden="1" thickBot="1" x14ac:dyDescent="0.3">
      <c r="A334">
        <v>2</v>
      </c>
      <c r="B334" s="27">
        <v>45806</v>
      </c>
      <c r="C334" s="95">
        <v>408465.37000000017</v>
      </c>
      <c r="D334" s="210">
        <v>0</v>
      </c>
      <c r="E334" s="209">
        <f t="shared" si="48"/>
        <v>408465.37000000017</v>
      </c>
      <c r="F334" s="28">
        <v>39157</v>
      </c>
      <c r="G334" s="28">
        <f t="shared" si="49"/>
        <v>10.431477641290195</v>
      </c>
      <c r="H334" s="65">
        <f t="shared" si="52"/>
        <v>1.9951574386822823E-3</v>
      </c>
      <c r="I334" s="72">
        <f t="shared" si="50"/>
        <v>-1.6617488305978645E-2</v>
      </c>
      <c r="J334" s="207">
        <v>163.35</v>
      </c>
      <c r="K334" s="65">
        <f t="shared" si="53"/>
        <v>3.5633101922958321E-3</v>
      </c>
      <c r="L334" s="72">
        <f t="shared" si="51"/>
        <v>5.0482315112540199E-2</v>
      </c>
    </row>
    <row r="335" spans="1:12" ht="15.75" hidden="1" thickBot="1" x14ac:dyDescent="0.3">
      <c r="A335">
        <v>2</v>
      </c>
      <c r="B335" s="27">
        <v>45807</v>
      </c>
      <c r="C335" s="95">
        <v>409266.72000000009</v>
      </c>
      <c r="D335" s="210">
        <v>0</v>
      </c>
      <c r="E335" s="209">
        <f t="shared" si="48"/>
        <v>409266.72000000009</v>
      </c>
      <c r="F335" s="28">
        <v>39157</v>
      </c>
      <c r="G335" s="28">
        <f t="shared" si="49"/>
        <v>10.451942692238937</v>
      </c>
      <c r="H335" s="65">
        <f t="shared" si="52"/>
        <v>1.9618554199585247E-3</v>
      </c>
      <c r="I335" s="72">
        <f t="shared" si="50"/>
        <v>-1.4688233995519218E-2</v>
      </c>
      <c r="J335" s="207">
        <v>163.31</v>
      </c>
      <c r="K335" s="65">
        <f t="shared" si="53"/>
        <v>-2.4487297214570436E-4</v>
      </c>
      <c r="L335" s="72">
        <f t="shared" si="51"/>
        <v>5.0225080385852161E-2</v>
      </c>
    </row>
    <row r="336" spans="1:12" ht="15.75" hidden="1" thickBot="1" x14ac:dyDescent="0.3">
      <c r="A336">
        <v>2</v>
      </c>
      <c r="B336" s="27">
        <v>45808</v>
      </c>
      <c r="C336" s="95">
        <v>409266.72000000009</v>
      </c>
      <c r="D336" s="210">
        <v>0</v>
      </c>
      <c r="E336" s="209">
        <f t="shared" si="48"/>
        <v>409266.72000000009</v>
      </c>
      <c r="F336" s="28">
        <v>39157</v>
      </c>
      <c r="G336" s="28">
        <f t="shared" si="49"/>
        <v>10.451942692238937</v>
      </c>
      <c r="H336" s="65">
        <f t="shared" si="52"/>
        <v>0</v>
      </c>
      <c r="I336" s="72">
        <f t="shared" si="50"/>
        <v>-1.4688233995519218E-2</v>
      </c>
      <c r="J336" s="207">
        <v>163.31</v>
      </c>
      <c r="K336" s="65">
        <f t="shared" si="53"/>
        <v>0</v>
      </c>
      <c r="L336" s="72">
        <f t="shared" si="51"/>
        <v>5.0225080385852161E-2</v>
      </c>
    </row>
    <row r="337" spans="1:12" ht="15.75" hidden="1" thickBot="1" x14ac:dyDescent="0.3">
      <c r="A337">
        <v>2</v>
      </c>
      <c r="B337" s="27">
        <v>45809</v>
      </c>
      <c r="C337" s="95">
        <v>409266.72000000009</v>
      </c>
      <c r="D337" s="210">
        <v>0</v>
      </c>
      <c r="E337" s="209">
        <f t="shared" si="48"/>
        <v>409266.72000000009</v>
      </c>
      <c r="F337" s="28">
        <v>39157</v>
      </c>
      <c r="G337" s="28">
        <f t="shared" si="49"/>
        <v>10.451942692238937</v>
      </c>
      <c r="H337" s="65">
        <f t="shared" si="52"/>
        <v>0</v>
      </c>
      <c r="I337" s="72">
        <f t="shared" si="50"/>
        <v>-1.4688233995519218E-2</v>
      </c>
      <c r="J337" s="207">
        <v>163.31</v>
      </c>
      <c r="K337" s="65">
        <f t="shared" si="53"/>
        <v>0</v>
      </c>
      <c r="L337" s="72">
        <f t="shared" si="51"/>
        <v>5.0225080385852161E-2</v>
      </c>
    </row>
    <row r="338" spans="1:12" ht="15.75" hidden="1" thickBot="1" x14ac:dyDescent="0.3">
      <c r="A338">
        <v>2</v>
      </c>
      <c r="B338" s="27">
        <v>45810</v>
      </c>
      <c r="C338" s="95">
        <v>413520.22000000015</v>
      </c>
      <c r="D338" s="210">
        <v>0</v>
      </c>
      <c r="E338" s="209">
        <f t="shared" si="48"/>
        <v>413520.22000000015</v>
      </c>
      <c r="F338" s="28">
        <v>39157</v>
      </c>
      <c r="G338" s="28">
        <f t="shared" si="49"/>
        <v>10.560569502260137</v>
      </c>
      <c r="H338" s="65">
        <f t="shared" si="52"/>
        <v>1.0392977958237459E-2</v>
      </c>
      <c r="I338" s="72">
        <f t="shared" si="50"/>
        <v>-4.4479105294427113E-3</v>
      </c>
      <c r="J338" s="207">
        <v>164.45</v>
      </c>
      <c r="K338" s="65">
        <f t="shared" si="53"/>
        <v>6.9805890637437695E-3</v>
      </c>
      <c r="L338" s="72">
        <f t="shared" si="51"/>
        <v>5.7556270096462914E-2</v>
      </c>
    </row>
    <row r="339" spans="1:12" ht="15.75" hidden="1" thickBot="1" x14ac:dyDescent="0.3">
      <c r="A339">
        <v>2</v>
      </c>
      <c r="B339" s="27">
        <v>45811</v>
      </c>
      <c r="C339" s="95">
        <v>414044.99000000005</v>
      </c>
      <c r="D339" s="210">
        <v>0</v>
      </c>
      <c r="E339" s="209">
        <f t="shared" si="48"/>
        <v>414044.99000000005</v>
      </c>
      <c r="F339" s="28">
        <v>39157</v>
      </c>
      <c r="G339" s="28">
        <f t="shared" si="49"/>
        <v>10.573971192890161</v>
      </c>
      <c r="H339" s="65">
        <f t="shared" si="52"/>
        <v>1.2690310524594572E-3</v>
      </c>
      <c r="I339" s="72">
        <f t="shared" si="50"/>
        <v>-3.1845240135637276E-3</v>
      </c>
      <c r="J339" s="207">
        <v>164.92</v>
      </c>
      <c r="K339" s="65">
        <f t="shared" si="53"/>
        <v>2.8580115536638306E-3</v>
      </c>
      <c r="L339" s="72">
        <f t="shared" si="51"/>
        <v>6.0578778135048195E-2</v>
      </c>
    </row>
    <row r="340" spans="1:12" ht="15.75" hidden="1" thickBot="1" x14ac:dyDescent="0.3">
      <c r="A340">
        <v>2</v>
      </c>
      <c r="B340" s="27">
        <v>45812</v>
      </c>
      <c r="C340" s="95">
        <v>414849.27000000008</v>
      </c>
      <c r="D340" s="210">
        <v>0</v>
      </c>
      <c r="E340" s="209">
        <f t="shared" si="48"/>
        <v>414849.27000000008</v>
      </c>
      <c r="F340" s="28">
        <v>39157</v>
      </c>
      <c r="G340" s="28">
        <f t="shared" si="49"/>
        <v>10.594511070817481</v>
      </c>
      <c r="H340" s="65">
        <f t="shared" si="52"/>
        <v>1.942494220253721E-3</v>
      </c>
      <c r="I340" s="72">
        <f t="shared" si="50"/>
        <v>-1.2482157128004268E-3</v>
      </c>
      <c r="J340" s="207">
        <v>165.12</v>
      </c>
      <c r="K340" s="65">
        <f t="shared" si="53"/>
        <v>1.2127091923357369E-3</v>
      </c>
      <c r="L340" s="72">
        <f t="shared" si="51"/>
        <v>6.1864951768488829E-2</v>
      </c>
    </row>
    <row r="341" spans="1:12" ht="15.75" hidden="1" thickBot="1" x14ac:dyDescent="0.3">
      <c r="A341">
        <v>2</v>
      </c>
      <c r="B341" s="27">
        <v>45813</v>
      </c>
      <c r="C341" s="95">
        <v>412943.62000000005</v>
      </c>
      <c r="D341" s="210">
        <v>0</v>
      </c>
      <c r="E341" s="209">
        <f t="shared" si="48"/>
        <v>412943.62000000005</v>
      </c>
      <c r="F341" s="28">
        <v>39157</v>
      </c>
      <c r="G341" s="28">
        <f t="shared" si="49"/>
        <v>10.545844165794112</v>
      </c>
      <c r="H341" s="65">
        <f t="shared" si="52"/>
        <v>-4.5935961270946457E-3</v>
      </c>
      <c r="I341" s="72">
        <f t="shared" si="50"/>
        <v>-5.8360780410310342E-3</v>
      </c>
      <c r="J341" s="207">
        <v>164.44</v>
      </c>
      <c r="K341" s="65">
        <f t="shared" si="53"/>
        <v>-4.1182170542636287E-3</v>
      </c>
      <c r="L341" s="72">
        <f t="shared" si="51"/>
        <v>5.7491961414791071E-2</v>
      </c>
    </row>
    <row r="342" spans="1:12" ht="15.75" hidden="1" thickBot="1" x14ac:dyDescent="0.3">
      <c r="A342">
        <v>2</v>
      </c>
      <c r="B342" s="27">
        <v>45814</v>
      </c>
      <c r="C342" s="95">
        <v>417570.55</v>
      </c>
      <c r="D342" s="210">
        <v>0</v>
      </c>
      <c r="E342" s="209">
        <f t="shared" si="48"/>
        <v>417570.55</v>
      </c>
      <c r="F342" s="28">
        <v>39157</v>
      </c>
      <c r="G342" s="28">
        <f t="shared" si="49"/>
        <v>10.664007712541819</v>
      </c>
      <c r="H342" s="65">
        <f t="shared" si="52"/>
        <v>1.1204749936565062E-2</v>
      </c>
      <c r="I342" s="72">
        <f t="shared" si="50"/>
        <v>5.3032801004739838E-3</v>
      </c>
      <c r="J342" s="207">
        <v>165.85</v>
      </c>
      <c r="K342" s="65">
        <f t="shared" si="53"/>
        <v>8.5745560690828615E-3</v>
      </c>
      <c r="L342" s="72">
        <f t="shared" si="51"/>
        <v>6.6559485530546691E-2</v>
      </c>
    </row>
    <row r="343" spans="1:12" ht="15.75" hidden="1" thickBot="1" x14ac:dyDescent="0.3">
      <c r="A343">
        <v>2</v>
      </c>
      <c r="B343" s="27">
        <v>45815</v>
      </c>
      <c r="C343" s="95">
        <v>417570.55</v>
      </c>
      <c r="D343" s="210">
        <v>0</v>
      </c>
      <c r="E343" s="209">
        <f t="shared" si="48"/>
        <v>417570.55</v>
      </c>
      <c r="F343" s="28">
        <v>39157</v>
      </c>
      <c r="G343" s="28">
        <f t="shared" si="49"/>
        <v>10.664007712541819</v>
      </c>
      <c r="H343" s="65">
        <f t="shared" si="52"/>
        <v>0</v>
      </c>
      <c r="I343" s="72">
        <f t="shared" si="50"/>
        <v>5.3032801004739838E-3</v>
      </c>
      <c r="J343" s="207">
        <v>165.85</v>
      </c>
      <c r="K343" s="65">
        <f t="shared" si="53"/>
        <v>0</v>
      </c>
      <c r="L343" s="72">
        <f t="shared" si="51"/>
        <v>6.6559485530546691E-2</v>
      </c>
    </row>
    <row r="344" spans="1:12" ht="15.75" hidden="1" thickBot="1" x14ac:dyDescent="0.3">
      <c r="A344">
        <v>2</v>
      </c>
      <c r="B344" s="27">
        <v>45816</v>
      </c>
      <c r="C344" s="95">
        <v>417570.55</v>
      </c>
      <c r="D344" s="210">
        <v>0</v>
      </c>
      <c r="E344" s="209">
        <f t="shared" si="48"/>
        <v>417570.55</v>
      </c>
      <c r="F344" s="28">
        <v>39157</v>
      </c>
      <c r="G344" s="28">
        <f t="shared" si="49"/>
        <v>10.664007712541819</v>
      </c>
      <c r="H344" s="65">
        <f t="shared" si="52"/>
        <v>0</v>
      </c>
      <c r="I344" s="72">
        <f t="shared" si="50"/>
        <v>5.3032801004739838E-3</v>
      </c>
      <c r="J344" s="207">
        <v>165.85</v>
      </c>
      <c r="K344" s="65">
        <f t="shared" si="53"/>
        <v>0</v>
      </c>
      <c r="L344" s="72">
        <f t="shared" si="51"/>
        <v>6.6559485530546691E-2</v>
      </c>
    </row>
    <row r="345" spans="1:12" ht="15.75" hidden="1" thickBot="1" x14ac:dyDescent="0.3">
      <c r="A345">
        <v>2</v>
      </c>
      <c r="B345" s="27">
        <v>45817</v>
      </c>
      <c r="C345" s="95">
        <v>419717.72000000003</v>
      </c>
      <c r="D345" s="210">
        <v>0</v>
      </c>
      <c r="E345" s="209">
        <f t="shared" si="48"/>
        <v>419717.72000000003</v>
      </c>
      <c r="F345" s="28">
        <v>39157</v>
      </c>
      <c r="G345" s="28">
        <f t="shared" si="49"/>
        <v>10.718842607962817</v>
      </c>
      <c r="H345" s="65">
        <f t="shared" si="52"/>
        <v>5.1420532410630937E-3</v>
      </c>
      <c r="I345" s="72">
        <f t="shared" si="50"/>
        <v>1.0472603090166066E-2</v>
      </c>
      <c r="J345" s="207">
        <v>165.93</v>
      </c>
      <c r="K345" s="65">
        <f t="shared" si="53"/>
        <v>4.8236358154962744E-4</v>
      </c>
      <c r="L345" s="72">
        <f t="shared" si="51"/>
        <v>6.7073954983922768E-2</v>
      </c>
    </row>
    <row r="346" spans="1:12" ht="15.75" hidden="1" thickBot="1" x14ac:dyDescent="0.3">
      <c r="A346">
        <v>2</v>
      </c>
      <c r="B346" s="27">
        <v>45818</v>
      </c>
      <c r="C346" s="95">
        <v>420563.44000000012</v>
      </c>
      <c r="D346" s="210">
        <v>0</v>
      </c>
      <c r="E346" s="209">
        <f t="shared" si="48"/>
        <v>420563.44000000012</v>
      </c>
      <c r="F346" s="28">
        <v>39157</v>
      </c>
      <c r="G346" s="28">
        <f t="shared" si="49"/>
        <v>10.740440789641703</v>
      </c>
      <c r="H346" s="65">
        <f t="shared" si="52"/>
        <v>2.0149733015801807E-3</v>
      </c>
      <c r="I346" s="72">
        <f t="shared" si="50"/>
        <v>1.2508678407371132E-2</v>
      </c>
      <c r="J346" s="207">
        <v>166.55</v>
      </c>
      <c r="K346" s="65">
        <f t="shared" si="53"/>
        <v>3.7365153980595256E-3</v>
      </c>
      <c r="L346" s="72">
        <f t="shared" si="51"/>
        <v>7.106109324758858E-2</v>
      </c>
    </row>
    <row r="347" spans="1:12" ht="15.75" hidden="1" thickBot="1" x14ac:dyDescent="0.3">
      <c r="A347">
        <v>2</v>
      </c>
      <c r="B347" s="27">
        <v>45819</v>
      </c>
      <c r="C347" s="95">
        <v>420462.00000000012</v>
      </c>
      <c r="D347" s="210">
        <v>0</v>
      </c>
      <c r="E347" s="209">
        <f t="shared" si="48"/>
        <v>420462.00000000012</v>
      </c>
      <c r="F347" s="28">
        <v>39157</v>
      </c>
      <c r="G347" s="28">
        <f t="shared" si="49"/>
        <v>10.737850192813548</v>
      </c>
      <c r="H347" s="65">
        <f t="shared" si="52"/>
        <v>-2.4120023366758225E-4</v>
      </c>
      <c r="I347" s="72">
        <f t="shared" si="50"/>
        <v>1.2264461077548638E-2</v>
      </c>
      <c r="J347" s="207">
        <v>166.17</v>
      </c>
      <c r="K347" s="65">
        <f t="shared" si="53"/>
        <v>-2.2815971179827033E-3</v>
      </c>
      <c r="L347" s="72">
        <f t="shared" si="51"/>
        <v>6.8617363344051441E-2</v>
      </c>
    </row>
    <row r="348" spans="1:12" ht="15.75" hidden="1" thickBot="1" x14ac:dyDescent="0.3">
      <c r="A348">
        <v>2</v>
      </c>
      <c r="B348" s="27">
        <v>45820</v>
      </c>
      <c r="C348" s="95">
        <v>419573.43000000011</v>
      </c>
      <c r="D348" s="210">
        <v>0</v>
      </c>
      <c r="E348" s="209">
        <f t="shared" si="48"/>
        <v>419573.43000000011</v>
      </c>
      <c r="F348" s="28">
        <v>39157</v>
      </c>
      <c r="G348" s="28">
        <f t="shared" si="49"/>
        <v>10.715157698495801</v>
      </c>
      <c r="H348" s="65">
        <f t="shared" si="52"/>
        <v>-2.1133182071150225E-3</v>
      </c>
      <c r="I348" s="72">
        <f t="shared" si="50"/>
        <v>1.0125224161537938E-2</v>
      </c>
      <c r="J348" s="207">
        <v>166.97</v>
      </c>
      <c r="K348" s="65">
        <f t="shared" si="53"/>
        <v>4.8143467533250384E-3</v>
      </c>
      <c r="L348" s="72">
        <f t="shared" si="51"/>
        <v>7.3762057877813536E-2</v>
      </c>
    </row>
    <row r="349" spans="1:12" ht="15.75" hidden="1" thickBot="1" x14ac:dyDescent="0.3">
      <c r="A349">
        <v>2</v>
      </c>
      <c r="B349" s="27">
        <v>45821</v>
      </c>
      <c r="C349" s="95">
        <v>414058.47000000009</v>
      </c>
      <c r="D349" s="210">
        <v>0</v>
      </c>
      <c r="E349" s="209">
        <f t="shared" si="48"/>
        <v>414058.47000000009</v>
      </c>
      <c r="F349" s="28">
        <v>39157</v>
      </c>
      <c r="G349" s="28">
        <f t="shared" si="49"/>
        <v>10.574315448068036</v>
      </c>
      <c r="H349" s="65">
        <f t="shared" si="52"/>
        <v>-1.3144206962771632E-2</v>
      </c>
      <c r="I349" s="72">
        <f t="shared" si="50"/>
        <v>-3.1520708431573841E-3</v>
      </c>
      <c r="J349" s="207">
        <v>165</v>
      </c>
      <c r="K349" s="65">
        <f t="shared" si="53"/>
        <v>-1.1798526681439769E-2</v>
      </c>
      <c r="L349" s="72">
        <f t="shared" si="51"/>
        <v>6.1093247588424493E-2</v>
      </c>
    </row>
    <row r="350" spans="1:12" ht="15.75" hidden="1" thickBot="1" x14ac:dyDescent="0.3">
      <c r="A350">
        <v>2</v>
      </c>
      <c r="B350" s="27">
        <v>45822</v>
      </c>
      <c r="C350" s="95">
        <v>414058.47000000009</v>
      </c>
      <c r="D350" s="210">
        <v>0</v>
      </c>
      <c r="E350" s="209">
        <f t="shared" si="48"/>
        <v>414058.47000000009</v>
      </c>
      <c r="F350" s="28">
        <v>39157</v>
      </c>
      <c r="G350" s="28">
        <f t="shared" si="49"/>
        <v>10.574315448068036</v>
      </c>
      <c r="H350" s="65">
        <f t="shared" si="52"/>
        <v>0</v>
      </c>
      <c r="I350" s="72">
        <f t="shared" si="50"/>
        <v>-3.1520708431573841E-3</v>
      </c>
      <c r="J350" s="207">
        <v>165</v>
      </c>
      <c r="K350" s="65">
        <f t="shared" si="53"/>
        <v>0</v>
      </c>
      <c r="L350" s="72">
        <f t="shared" si="51"/>
        <v>6.1093247588424493E-2</v>
      </c>
    </row>
    <row r="351" spans="1:12" ht="15.75" hidden="1" thickBot="1" x14ac:dyDescent="0.3">
      <c r="A351">
        <v>2</v>
      </c>
      <c r="B351" s="27">
        <v>45823</v>
      </c>
      <c r="C351" s="95">
        <v>414058.47000000009</v>
      </c>
      <c r="D351" s="210">
        <v>0</v>
      </c>
      <c r="E351" s="209">
        <f t="shared" si="48"/>
        <v>414058.47000000009</v>
      </c>
      <c r="F351" s="28">
        <v>39157</v>
      </c>
      <c r="G351" s="28">
        <f t="shared" si="49"/>
        <v>10.574315448068036</v>
      </c>
      <c r="H351" s="65">
        <f t="shared" si="52"/>
        <v>0</v>
      </c>
      <c r="I351" s="72">
        <f t="shared" si="50"/>
        <v>-3.1520708431573841E-3</v>
      </c>
      <c r="J351" s="207">
        <v>165</v>
      </c>
      <c r="K351" s="65">
        <f t="shared" si="53"/>
        <v>0</v>
      </c>
      <c r="L351" s="72">
        <f t="shared" si="51"/>
        <v>6.1093247588424493E-2</v>
      </c>
    </row>
    <row r="352" spans="1:12" ht="15.75" hidden="1" thickBot="1" x14ac:dyDescent="0.3">
      <c r="A352">
        <v>2</v>
      </c>
      <c r="B352" s="27">
        <v>45824</v>
      </c>
      <c r="C352" s="95">
        <v>419485.40000000014</v>
      </c>
      <c r="D352" s="210">
        <v>0</v>
      </c>
      <c r="E352" s="209">
        <f t="shared" si="48"/>
        <v>419485.40000000014</v>
      </c>
      <c r="F352" s="28">
        <v>39157</v>
      </c>
      <c r="G352" s="28">
        <f t="shared" si="49"/>
        <v>10.712909569170266</v>
      </c>
      <c r="H352" s="65">
        <f t="shared" si="52"/>
        <v>1.3106675489575226E-2</v>
      </c>
      <c r="I352" s="72">
        <f t="shared" si="50"/>
        <v>9.9132914767565694E-3</v>
      </c>
      <c r="J352" s="207">
        <v>165.16</v>
      </c>
      <c r="K352" s="65">
        <f t="shared" si="53"/>
        <v>9.6969696969684271E-4</v>
      </c>
      <c r="L352" s="72">
        <f t="shared" si="51"/>
        <v>6.2122186495176868E-2</v>
      </c>
    </row>
    <row r="353" spans="1:13" ht="15.75" hidden="1" thickBot="1" x14ac:dyDescent="0.3">
      <c r="A353">
        <v>2</v>
      </c>
      <c r="B353" s="27">
        <v>45825</v>
      </c>
      <c r="C353" s="95">
        <v>416267.44000000006</v>
      </c>
      <c r="D353" s="210">
        <v>0</v>
      </c>
      <c r="E353" s="209">
        <f t="shared" si="48"/>
        <v>416267.44000000006</v>
      </c>
      <c r="F353" s="28">
        <v>39157</v>
      </c>
      <c r="G353" s="28">
        <f t="shared" si="49"/>
        <v>10.63072860535792</v>
      </c>
      <c r="H353" s="65">
        <f t="shared" si="52"/>
        <v>-7.6712085807993935E-3</v>
      </c>
      <c r="I353" s="72">
        <f t="shared" si="50"/>
        <v>2.1660359693167486E-3</v>
      </c>
      <c r="J353" s="207">
        <v>163.63999999999999</v>
      </c>
      <c r="K353" s="65">
        <f t="shared" si="53"/>
        <v>-9.2031968999758407E-3</v>
      </c>
      <c r="L353" s="72">
        <f t="shared" si="51"/>
        <v>5.2347266881028753E-2</v>
      </c>
    </row>
    <row r="354" spans="1:13" ht="15.75" hidden="1" thickBot="1" x14ac:dyDescent="0.3">
      <c r="A354">
        <v>2</v>
      </c>
      <c r="B354" s="27">
        <v>45826</v>
      </c>
      <c r="C354" s="95">
        <v>415785.66000000003</v>
      </c>
      <c r="D354" s="210">
        <v>0</v>
      </c>
      <c r="E354" s="209">
        <f t="shared" si="48"/>
        <v>415785.66000000003</v>
      </c>
      <c r="F354" s="28">
        <v>39157</v>
      </c>
      <c r="G354" s="28">
        <f t="shared" si="49"/>
        <v>10.618424802717268</v>
      </c>
      <c r="H354" s="65">
        <f t="shared" si="52"/>
        <v>-1.1573809376010935E-3</v>
      </c>
      <c r="I354" s="72">
        <f t="shared" si="50"/>
        <v>1.0061481029746133E-3</v>
      </c>
      <c r="J354" s="207">
        <v>163.68</v>
      </c>
      <c r="K354" s="65">
        <f t="shared" si="53"/>
        <v>2.4443901246651301E-4</v>
      </c>
      <c r="L354" s="72">
        <f t="shared" si="51"/>
        <v>5.2604501607717014E-2</v>
      </c>
    </row>
    <row r="355" spans="1:13" ht="15.75" hidden="1" thickBot="1" x14ac:dyDescent="0.3">
      <c r="A355">
        <v>2</v>
      </c>
      <c r="B355" s="27">
        <v>45827</v>
      </c>
      <c r="C355" s="95">
        <v>415785.66000000003</v>
      </c>
      <c r="D355" s="210">
        <v>0</v>
      </c>
      <c r="E355" s="209">
        <f t="shared" si="48"/>
        <v>415785.66000000003</v>
      </c>
      <c r="F355" s="28">
        <v>39157</v>
      </c>
      <c r="G355" s="28">
        <f t="shared" si="49"/>
        <v>10.618424802717268</v>
      </c>
      <c r="H355" s="65">
        <f t="shared" si="52"/>
        <v>0</v>
      </c>
      <c r="I355" s="72">
        <f t="shared" si="50"/>
        <v>1.0061481029746133E-3</v>
      </c>
      <c r="J355" s="207">
        <v>163.68</v>
      </c>
      <c r="K355" s="65">
        <f t="shared" si="53"/>
        <v>0</v>
      </c>
      <c r="L355" s="72">
        <f t="shared" si="51"/>
        <v>5.2604501607717014E-2</v>
      </c>
    </row>
    <row r="356" spans="1:13" ht="15.75" hidden="1" thickBot="1" x14ac:dyDescent="0.3">
      <c r="A356">
        <v>2</v>
      </c>
      <c r="B356" s="27">
        <v>45828</v>
      </c>
      <c r="C356" s="95">
        <v>414190.84</v>
      </c>
      <c r="D356" s="210">
        <v>0</v>
      </c>
      <c r="E356" s="209">
        <f t="shared" si="48"/>
        <v>414190.84</v>
      </c>
      <c r="F356" s="28">
        <v>39157</v>
      </c>
      <c r="G356" s="28">
        <f t="shared" si="49"/>
        <v>10.57769594197717</v>
      </c>
      <c r="H356" s="65">
        <f t="shared" si="52"/>
        <v>-3.8356782193978978E-3</v>
      </c>
      <c r="I356" s="72">
        <f t="shared" si="50"/>
        <v>-2.8333893767874541E-3</v>
      </c>
      <c r="J356" s="207">
        <v>163.02000000000001</v>
      </c>
      <c r="K356" s="65">
        <f t="shared" si="53"/>
        <v>-4.0322580645161255E-3</v>
      </c>
      <c r="L356" s="72">
        <f t="shared" si="51"/>
        <v>4.8360128617363385E-2</v>
      </c>
    </row>
    <row r="357" spans="1:13" ht="15.75" hidden="1" thickBot="1" x14ac:dyDescent="0.3">
      <c r="A357">
        <v>2</v>
      </c>
      <c r="B357" s="27">
        <v>45829</v>
      </c>
      <c r="C357" s="95">
        <v>414190.84</v>
      </c>
      <c r="D357" s="210">
        <v>0</v>
      </c>
      <c r="E357" s="209">
        <f t="shared" si="48"/>
        <v>414190.84</v>
      </c>
      <c r="F357" s="28">
        <v>39157</v>
      </c>
      <c r="G357" s="28">
        <f t="shared" si="49"/>
        <v>10.57769594197717</v>
      </c>
      <c r="H357" s="65">
        <f t="shared" si="52"/>
        <v>0</v>
      </c>
      <c r="I357" s="72">
        <f t="shared" si="50"/>
        <v>-2.8333893767874541E-3</v>
      </c>
      <c r="J357" s="207">
        <v>163.02000000000001</v>
      </c>
      <c r="K357" s="65">
        <f t="shared" si="53"/>
        <v>0</v>
      </c>
      <c r="L357" s="72">
        <f t="shared" si="51"/>
        <v>4.8360128617363385E-2</v>
      </c>
    </row>
    <row r="358" spans="1:13" ht="15.75" hidden="1" thickBot="1" x14ac:dyDescent="0.3">
      <c r="A358">
        <v>2</v>
      </c>
      <c r="B358" s="27">
        <v>45830</v>
      </c>
      <c r="C358" s="95">
        <v>414190.84</v>
      </c>
      <c r="D358" s="210">
        <v>0</v>
      </c>
      <c r="E358" s="209">
        <f t="shared" si="48"/>
        <v>414190.84</v>
      </c>
      <c r="F358" s="28">
        <v>39157</v>
      </c>
      <c r="G358" s="28">
        <f t="shared" si="49"/>
        <v>10.57769594197717</v>
      </c>
      <c r="H358" s="65">
        <f t="shared" si="52"/>
        <v>0</v>
      </c>
      <c r="I358" s="72">
        <f t="shared" si="50"/>
        <v>-2.8333893767874541E-3</v>
      </c>
      <c r="J358" s="207">
        <v>163.02000000000001</v>
      </c>
      <c r="K358" s="65">
        <f t="shared" si="53"/>
        <v>0</v>
      </c>
      <c r="L358" s="72">
        <f t="shared" si="51"/>
        <v>4.8360128617363385E-2</v>
      </c>
    </row>
    <row r="359" spans="1:13" ht="15.75" hidden="1" thickBot="1" x14ac:dyDescent="0.3">
      <c r="A359">
        <v>2</v>
      </c>
      <c r="B359" s="27">
        <v>45831</v>
      </c>
      <c r="C359" s="95">
        <v>417833.83000000013</v>
      </c>
      <c r="D359" s="210">
        <v>0</v>
      </c>
      <c r="E359" s="209">
        <f t="shared" si="48"/>
        <v>417833.83000000013</v>
      </c>
      <c r="F359" s="28">
        <v>39157</v>
      </c>
      <c r="G359" s="28">
        <f t="shared" si="49"/>
        <v>10.670731414561896</v>
      </c>
      <c r="H359" s="65">
        <f t="shared" si="52"/>
        <v>8.7954383539725622E-3</v>
      </c>
      <c r="I359" s="72">
        <f t="shared" si="50"/>
        <v>5.9371280755886602E-3</v>
      </c>
      <c r="J359" s="207">
        <v>164.49</v>
      </c>
      <c r="K359" s="65">
        <f t="shared" si="53"/>
        <v>9.0172984909826503E-3</v>
      </c>
      <c r="L359" s="72">
        <f t="shared" si="51"/>
        <v>5.7813504823151174E-2</v>
      </c>
    </row>
    <row r="360" spans="1:13" ht="15.75" hidden="1" thickBot="1" x14ac:dyDescent="0.3">
      <c r="A360">
        <v>2</v>
      </c>
      <c r="B360" s="27">
        <v>45832</v>
      </c>
      <c r="C360" s="95">
        <v>422891.2900000001</v>
      </c>
      <c r="D360" s="210">
        <v>0</v>
      </c>
      <c r="E360" s="209">
        <f t="shared" si="48"/>
        <v>422891.2900000001</v>
      </c>
      <c r="F360" s="28">
        <v>39157</v>
      </c>
      <c r="G360" s="28">
        <f t="shared" si="49"/>
        <v>10.799889930280667</v>
      </c>
      <c r="H360" s="65">
        <f t="shared" si="52"/>
        <v>1.2103998376579383E-2</v>
      </c>
      <c r="I360" s="72">
        <f t="shared" si="50"/>
        <v>1.8112989440756566E-2</v>
      </c>
      <c r="J360" s="207">
        <v>166.41</v>
      </c>
      <c r="K360" s="65">
        <f t="shared" si="53"/>
        <v>1.1672442093744184E-2</v>
      </c>
      <c r="L360" s="72">
        <f t="shared" si="51"/>
        <v>7.0160771704180114E-2</v>
      </c>
    </row>
    <row r="361" spans="1:13" ht="15.75" hidden="1" thickBot="1" x14ac:dyDescent="0.3">
      <c r="A361">
        <v>2</v>
      </c>
      <c r="B361" s="27">
        <v>45833</v>
      </c>
      <c r="C361" s="95">
        <v>422724.89</v>
      </c>
      <c r="D361" s="210">
        <v>0</v>
      </c>
      <c r="E361" s="209">
        <f t="shared" si="48"/>
        <v>422724.89</v>
      </c>
      <c r="F361" s="28">
        <v>39157</v>
      </c>
      <c r="G361" s="28">
        <f t="shared" si="49"/>
        <v>10.795640370814924</v>
      </c>
      <c r="H361" s="65">
        <f t="shared" si="52"/>
        <v>-3.9348173853404056E-4</v>
      </c>
      <c r="I361" s="72">
        <f t="shared" si="50"/>
        <v>1.7712380571647257E-2</v>
      </c>
      <c r="J361" s="207">
        <v>166.12</v>
      </c>
      <c r="K361" s="65">
        <f t="shared" si="53"/>
        <v>-1.7426837329487244E-3</v>
      </c>
      <c r="L361" s="72">
        <f t="shared" si="51"/>
        <v>6.8295819935691338E-2</v>
      </c>
    </row>
    <row r="362" spans="1:13" ht="15.75" hidden="1" thickBot="1" x14ac:dyDescent="0.3">
      <c r="A362">
        <v>2</v>
      </c>
      <c r="B362" s="27">
        <v>45834</v>
      </c>
      <c r="C362" s="95">
        <v>423638.7</v>
      </c>
      <c r="D362" s="210">
        <v>0</v>
      </c>
      <c r="E362" s="209">
        <f t="shared" si="48"/>
        <v>423638.7</v>
      </c>
      <c r="F362" s="28">
        <v>39157</v>
      </c>
      <c r="G362" s="28">
        <f t="shared" si="49"/>
        <v>10.818977449753557</v>
      </c>
      <c r="H362" s="65">
        <f t="shared" si="52"/>
        <v>2.1617132598936717E-3</v>
      </c>
      <c r="I362" s="72">
        <f t="shared" si="50"/>
        <v>1.9912382919486937E-2</v>
      </c>
      <c r="J362" s="207">
        <v>167.7</v>
      </c>
      <c r="K362" s="65">
        <f t="shared" si="53"/>
        <v>9.511196725258797E-3</v>
      </c>
      <c r="L362" s="72">
        <f t="shared" si="51"/>
        <v>7.8456591639871398E-2</v>
      </c>
    </row>
    <row r="363" spans="1:13" ht="15.75" hidden="1" thickBot="1" x14ac:dyDescent="0.3">
      <c r="A363">
        <v>2</v>
      </c>
      <c r="B363" s="27">
        <v>45835</v>
      </c>
      <c r="C363" s="95">
        <v>423507.22000000003</v>
      </c>
      <c r="D363" s="210">
        <v>0</v>
      </c>
      <c r="E363" s="209">
        <f t="shared" si="48"/>
        <v>423507.22000000003</v>
      </c>
      <c r="F363" s="28">
        <v>39157</v>
      </c>
      <c r="G363" s="28">
        <f t="shared" si="49"/>
        <v>10.815619684858392</v>
      </c>
      <c r="H363" s="65">
        <f t="shared" si="52"/>
        <v>-3.1035880338592392E-4</v>
      </c>
      <c r="I363" s="72">
        <f t="shared" si="50"/>
        <v>1.9595844132765494E-2</v>
      </c>
      <c r="J363" s="207">
        <v>168.59</v>
      </c>
      <c r="K363" s="65">
        <f t="shared" si="53"/>
        <v>5.3070960047705285E-3</v>
      </c>
      <c r="L363" s="72">
        <f t="shared" si="51"/>
        <v>8.4180064308681635E-2</v>
      </c>
    </row>
    <row r="364" spans="1:13" ht="15.75" hidden="1" thickBot="1" x14ac:dyDescent="0.3">
      <c r="A364">
        <v>2</v>
      </c>
      <c r="B364" s="27">
        <v>45836</v>
      </c>
      <c r="C364" s="95">
        <v>423507.22000000003</v>
      </c>
      <c r="D364" s="210">
        <v>0</v>
      </c>
      <c r="E364" s="209">
        <f t="shared" si="48"/>
        <v>423507.22000000003</v>
      </c>
      <c r="F364" s="28">
        <v>39157</v>
      </c>
      <c r="G364" s="28">
        <f t="shared" si="49"/>
        <v>10.815619684858392</v>
      </c>
      <c r="H364" s="65">
        <f t="shared" si="52"/>
        <v>0</v>
      </c>
      <c r="I364" s="72">
        <f t="shared" si="50"/>
        <v>1.9595844132765494E-2</v>
      </c>
      <c r="J364" s="207">
        <v>168.59</v>
      </c>
      <c r="K364" s="65">
        <f t="shared" si="53"/>
        <v>0</v>
      </c>
      <c r="L364" s="72">
        <f t="shared" si="51"/>
        <v>8.4180064308681635E-2</v>
      </c>
    </row>
    <row r="365" spans="1:13" ht="15.75" hidden="1" thickBot="1" x14ac:dyDescent="0.3">
      <c r="A365">
        <v>2</v>
      </c>
      <c r="B365" s="27">
        <v>45837</v>
      </c>
      <c r="C365" s="95">
        <v>423507.22000000003</v>
      </c>
      <c r="D365" s="210">
        <v>0</v>
      </c>
      <c r="E365" s="209">
        <f t="shared" si="48"/>
        <v>423507.22000000003</v>
      </c>
      <c r="F365" s="28">
        <v>39157</v>
      </c>
      <c r="G365" s="28">
        <f t="shared" si="49"/>
        <v>10.815619684858392</v>
      </c>
      <c r="H365" s="65">
        <f t="shared" si="52"/>
        <v>0</v>
      </c>
      <c r="I365" s="72">
        <f t="shared" si="50"/>
        <v>1.9595844132765494E-2</v>
      </c>
      <c r="J365" s="207">
        <v>168.59</v>
      </c>
      <c r="K365" s="65">
        <f t="shared" si="53"/>
        <v>0</v>
      </c>
      <c r="L365" s="72">
        <f t="shared" si="51"/>
        <v>8.4180064308681635E-2</v>
      </c>
    </row>
    <row r="366" spans="1:13" ht="15.75" hidden="1" thickBot="1" x14ac:dyDescent="0.3">
      <c r="A366">
        <v>2</v>
      </c>
      <c r="B366" s="27">
        <v>45838</v>
      </c>
      <c r="C366" s="95">
        <v>430628.41000000009</v>
      </c>
      <c r="D366" s="210">
        <v>0</v>
      </c>
      <c r="E366" s="209">
        <f t="shared" si="48"/>
        <v>430628.41000000009</v>
      </c>
      <c r="F366" s="28">
        <v>39157</v>
      </c>
      <c r="G366" s="28">
        <f t="shared" si="49"/>
        <v>10.997482187092986</v>
      </c>
      <c r="H366" s="65">
        <f t="shared" si="52"/>
        <v>1.6814801882244268E-2</v>
      </c>
      <c r="I366" s="72">
        <f t="shared" si="50"/>
        <v>3.6740146251817318E-2</v>
      </c>
      <c r="J366" s="207">
        <v>169.38</v>
      </c>
      <c r="K366" s="65">
        <f t="shared" si="53"/>
        <v>4.6859244320540672E-3</v>
      </c>
      <c r="L366" s="72">
        <f t="shared" si="51"/>
        <v>8.9260450160771665E-2</v>
      </c>
    </row>
    <row r="367" spans="1:13" ht="15.75" hidden="1" thickBot="1" x14ac:dyDescent="0.3">
      <c r="A367">
        <v>3</v>
      </c>
      <c r="B367" s="27">
        <v>45839</v>
      </c>
      <c r="C367" s="95">
        <v>428823.56</v>
      </c>
      <c r="D367" s="210">
        <v>0</v>
      </c>
      <c r="E367" s="209">
        <f t="shared" si="48"/>
        <v>428823.56</v>
      </c>
      <c r="F367" s="28">
        <v>39157</v>
      </c>
      <c r="G367" s="28">
        <f t="shared" si="49"/>
        <v>10.951389534438286</v>
      </c>
      <c r="H367" s="65">
        <f t="shared" si="52"/>
        <v>-4.1912004830337857E-3</v>
      </c>
      <c r="I367" s="72">
        <f t="shared" si="50"/>
        <v>3.2394960450066179E-2</v>
      </c>
      <c r="J367" s="207">
        <v>169.15</v>
      </c>
      <c r="K367" s="65">
        <f t="shared" si="53"/>
        <v>-1.3578934939189047E-3</v>
      </c>
      <c r="L367" s="72">
        <f t="shared" si="51"/>
        <v>8.7781350482315057E-2</v>
      </c>
      <c r="M367" s="98"/>
    </row>
    <row r="368" spans="1:13" ht="15.75" hidden="1" thickBot="1" x14ac:dyDescent="0.3">
      <c r="A368">
        <v>3</v>
      </c>
      <c r="B368" s="27">
        <v>45840</v>
      </c>
      <c r="C368" s="95">
        <v>439860.58</v>
      </c>
      <c r="D368" s="210">
        <v>0</v>
      </c>
      <c r="E368" s="209">
        <f t="shared" si="48"/>
        <v>439860.58</v>
      </c>
      <c r="F368" s="28">
        <v>39157</v>
      </c>
      <c r="G368" s="28">
        <f t="shared" si="49"/>
        <v>11.233255356641214</v>
      </c>
      <c r="H368" s="65">
        <f t="shared" si="52"/>
        <v>2.5737904885636542E-2</v>
      </c>
      <c r="I368" s="72">
        <f t="shared" si="50"/>
        <v>5.8966643746540592E-2</v>
      </c>
      <c r="J368" s="207">
        <v>169.87</v>
      </c>
      <c r="K368" s="65">
        <f t="shared" si="53"/>
        <v>4.2565770026603555E-3</v>
      </c>
      <c r="L368" s="72">
        <f t="shared" si="51"/>
        <v>9.2411575562701076E-2</v>
      </c>
      <c r="M368" s="98"/>
    </row>
    <row r="369" spans="1:13" ht="15.75" hidden="1" thickBot="1" x14ac:dyDescent="0.3">
      <c r="A369">
        <v>3</v>
      </c>
      <c r="B369" s="27">
        <v>45841</v>
      </c>
      <c r="C369" s="95">
        <v>431632.60000000009</v>
      </c>
      <c r="D369" s="210">
        <v>0</v>
      </c>
      <c r="E369" s="209">
        <f t="shared" si="48"/>
        <v>431632.60000000009</v>
      </c>
      <c r="F369" s="28">
        <v>39157</v>
      </c>
      <c r="G369" s="28">
        <f t="shared" si="49"/>
        <v>11.023127410169321</v>
      </c>
      <c r="H369" s="65">
        <f t="shared" si="52"/>
        <v>-1.8705881759169984E-2</v>
      </c>
      <c r="I369" s="72">
        <f t="shared" si="50"/>
        <v>3.9157738921712815E-2</v>
      </c>
      <c r="J369" s="207">
        <v>170.87</v>
      </c>
      <c r="K369" s="65">
        <f t="shared" si="53"/>
        <v>5.8868546535586486E-3</v>
      </c>
      <c r="L369" s="72">
        <f t="shared" si="51"/>
        <v>9.8842443729903584E-2</v>
      </c>
      <c r="M369" s="98"/>
    </row>
    <row r="370" spans="1:13" ht="15.75" hidden="1" thickBot="1" x14ac:dyDescent="0.3">
      <c r="A370">
        <v>3</v>
      </c>
      <c r="B370" s="27">
        <v>45842</v>
      </c>
      <c r="C370" s="95">
        <v>431632.60000000009</v>
      </c>
      <c r="D370" s="210">
        <v>0</v>
      </c>
      <c r="E370" s="209">
        <f t="shared" si="48"/>
        <v>431632.60000000009</v>
      </c>
      <c r="F370" s="28">
        <v>39157</v>
      </c>
      <c r="G370" s="28">
        <f t="shared" si="49"/>
        <v>11.023127410169321</v>
      </c>
      <c r="H370" s="65">
        <f t="shared" si="52"/>
        <v>0</v>
      </c>
      <c r="I370" s="72">
        <f t="shared" si="50"/>
        <v>3.9157738921712815E-2</v>
      </c>
      <c r="J370" s="207">
        <v>170.87</v>
      </c>
      <c r="K370" s="65">
        <f t="shared" si="53"/>
        <v>0</v>
      </c>
      <c r="L370" s="72">
        <f t="shared" si="51"/>
        <v>9.8842443729903584E-2</v>
      </c>
      <c r="M370" s="98"/>
    </row>
    <row r="371" spans="1:13" ht="15.75" hidden="1" thickBot="1" x14ac:dyDescent="0.3">
      <c r="A371">
        <v>3</v>
      </c>
      <c r="B371" s="27">
        <v>45843</v>
      </c>
      <c r="C371" s="95">
        <v>431632.60000000009</v>
      </c>
      <c r="D371" s="210">
        <v>0</v>
      </c>
      <c r="E371" s="209">
        <f t="shared" si="48"/>
        <v>431632.60000000009</v>
      </c>
      <c r="F371" s="28">
        <v>39157</v>
      </c>
      <c r="G371" s="28">
        <f t="shared" si="49"/>
        <v>11.023127410169321</v>
      </c>
      <c r="H371" s="65">
        <f t="shared" si="52"/>
        <v>0</v>
      </c>
      <c r="I371" s="72">
        <f t="shared" si="50"/>
        <v>3.9157738921712815E-2</v>
      </c>
      <c r="J371" s="207">
        <v>170.87</v>
      </c>
      <c r="K371" s="65">
        <f t="shared" si="53"/>
        <v>0</v>
      </c>
      <c r="L371" s="72">
        <f t="shared" si="51"/>
        <v>9.8842443729903584E-2</v>
      </c>
    </row>
    <row r="372" spans="1:13" ht="15.75" hidden="1" thickBot="1" x14ac:dyDescent="0.3">
      <c r="A372">
        <v>3</v>
      </c>
      <c r="B372" s="27">
        <v>45844</v>
      </c>
      <c r="C372" s="95">
        <v>431632.60000000009</v>
      </c>
      <c r="D372" s="210">
        <v>0</v>
      </c>
      <c r="E372" s="209">
        <f t="shared" si="48"/>
        <v>431632.60000000009</v>
      </c>
      <c r="F372" s="28">
        <v>39157</v>
      </c>
      <c r="G372" s="28">
        <f t="shared" si="49"/>
        <v>11.023127410169321</v>
      </c>
      <c r="H372" s="65">
        <f t="shared" si="52"/>
        <v>0</v>
      </c>
      <c r="I372" s="72">
        <f t="shared" si="50"/>
        <v>3.9157738921712815E-2</v>
      </c>
      <c r="J372" s="207">
        <v>170.87</v>
      </c>
      <c r="K372" s="65">
        <f t="shared" si="53"/>
        <v>0</v>
      </c>
      <c r="L372" s="72">
        <f t="shared" si="51"/>
        <v>9.8842443729903584E-2</v>
      </c>
    </row>
    <row r="373" spans="1:13" ht="15.75" hidden="1" thickBot="1" x14ac:dyDescent="0.3">
      <c r="A373">
        <v>3</v>
      </c>
      <c r="B373" s="27">
        <v>45845</v>
      </c>
      <c r="C373" s="95">
        <v>430239.43000000005</v>
      </c>
      <c r="D373" s="210">
        <v>0</v>
      </c>
      <c r="E373" s="209">
        <f t="shared" si="48"/>
        <v>430239.43000000005</v>
      </c>
      <c r="F373" s="28">
        <v>39157</v>
      </c>
      <c r="G373" s="28">
        <f t="shared" si="49"/>
        <v>10.987548331077459</v>
      </c>
      <c r="H373" s="65">
        <f t="shared" si="52"/>
        <v>-3.2276755740878738E-3</v>
      </c>
      <c r="I373" s="72">
        <f t="shared" si="50"/>
        <v>3.5803674870170665E-2</v>
      </c>
      <c r="J373" s="207">
        <v>169.47</v>
      </c>
      <c r="K373" s="65">
        <f t="shared" si="53"/>
        <v>-8.1933633756657853E-3</v>
      </c>
      <c r="L373" s="72">
        <f t="shared" si="51"/>
        <v>8.9839228295820028E-2</v>
      </c>
    </row>
    <row r="374" spans="1:13" ht="15.75" hidden="1" thickBot="1" x14ac:dyDescent="0.3">
      <c r="A374">
        <v>3</v>
      </c>
      <c r="B374" s="27">
        <v>45846</v>
      </c>
      <c r="C374" s="95">
        <v>429283.51000000013</v>
      </c>
      <c r="D374" s="210">
        <v>0</v>
      </c>
      <c r="E374" s="209">
        <f t="shared" si="48"/>
        <v>429283.51000000013</v>
      </c>
      <c r="F374" s="28">
        <v>39157</v>
      </c>
      <c r="G374" s="28">
        <f t="shared" si="49"/>
        <v>10.963135837781243</v>
      </c>
      <c r="H374" s="65">
        <f t="shared" si="52"/>
        <v>-2.2218326200366123E-3</v>
      </c>
      <c r="I374" s="72">
        <f t="shared" si="50"/>
        <v>3.350229247739045E-2</v>
      </c>
      <c r="J374" s="207">
        <v>169.56</v>
      </c>
      <c r="K374" s="65">
        <f t="shared" si="53"/>
        <v>5.3106744556563612E-4</v>
      </c>
      <c r="L374" s="72">
        <f t="shared" si="51"/>
        <v>9.041800643086817E-2</v>
      </c>
    </row>
    <row r="375" spans="1:13" ht="15.75" hidden="1" thickBot="1" x14ac:dyDescent="0.3">
      <c r="A375">
        <v>3</v>
      </c>
      <c r="B375" s="27">
        <v>45847</v>
      </c>
      <c r="C375" s="95">
        <v>432700.80000000005</v>
      </c>
      <c r="D375" s="210">
        <v>0</v>
      </c>
      <c r="E375" s="209">
        <f t="shared" si="48"/>
        <v>432700.80000000005</v>
      </c>
      <c r="F375" s="28">
        <v>39157</v>
      </c>
      <c r="G375" s="28">
        <f t="shared" si="49"/>
        <v>11.050407334576194</v>
      </c>
      <c r="H375" s="65">
        <f t="shared" si="52"/>
        <v>7.9604501929271265E-3</v>
      </c>
      <c r="I375" s="72">
        <f t="shared" si="50"/>
        <v>4.1729436000932596E-2</v>
      </c>
      <c r="J375" s="207">
        <v>170.7</v>
      </c>
      <c r="K375" s="65">
        <f t="shared" si="53"/>
        <v>6.7232837933473011E-3</v>
      </c>
      <c r="L375" s="72">
        <f t="shared" si="51"/>
        <v>9.7749196141478922E-2</v>
      </c>
    </row>
    <row r="376" spans="1:13" ht="15.75" hidden="1" thickBot="1" x14ac:dyDescent="0.3">
      <c r="A376">
        <v>3</v>
      </c>
      <c r="B376" s="27">
        <v>45848</v>
      </c>
      <c r="C376" s="95">
        <v>432328.03</v>
      </c>
      <c r="D376" s="210">
        <v>0</v>
      </c>
      <c r="E376" s="209">
        <f t="shared" si="48"/>
        <v>432328.03</v>
      </c>
      <c r="F376" s="28">
        <v>39157</v>
      </c>
      <c r="G376" s="28">
        <f t="shared" si="49"/>
        <v>11.040887453073525</v>
      </c>
      <c r="H376" s="65">
        <f t="shared" si="52"/>
        <v>-8.614959805944844E-4</v>
      </c>
      <c r="I376" s="72">
        <f t="shared" si="50"/>
        <v>4.0831990278950903E-2</v>
      </c>
      <c r="J376" s="207">
        <v>171.03</v>
      </c>
      <c r="K376" s="65">
        <f t="shared" si="53"/>
        <v>1.9332161687171112E-3</v>
      </c>
      <c r="L376" s="72">
        <f t="shared" si="51"/>
        <v>9.9871382636655959E-2</v>
      </c>
    </row>
    <row r="377" spans="1:13" ht="15.75" hidden="1" thickBot="1" x14ac:dyDescent="0.3">
      <c r="A377">
        <v>3</v>
      </c>
      <c r="B377" s="27">
        <v>45849</v>
      </c>
      <c r="C377" s="95">
        <v>432612.47</v>
      </c>
      <c r="D377" s="210">
        <v>0</v>
      </c>
      <c r="E377" s="209">
        <f t="shared" si="48"/>
        <v>432612.47</v>
      </c>
      <c r="F377" s="28">
        <v>39157</v>
      </c>
      <c r="G377" s="28">
        <f t="shared" si="49"/>
        <v>11.048151543785274</v>
      </c>
      <c r="H377" s="65">
        <f t="shared" si="52"/>
        <v>6.5792634356820479E-4</v>
      </c>
      <c r="I377" s="72">
        <f t="shared" si="50"/>
        <v>4.1516781064583785E-2</v>
      </c>
      <c r="J377" s="207">
        <v>170.11</v>
      </c>
      <c r="K377" s="65">
        <f t="shared" si="53"/>
        <v>-5.3791732444599116E-3</v>
      </c>
      <c r="L377" s="72">
        <f t="shared" si="51"/>
        <v>9.3954983922829749E-2</v>
      </c>
    </row>
    <row r="378" spans="1:13" ht="15.75" hidden="1" thickBot="1" x14ac:dyDescent="0.3">
      <c r="A378">
        <v>3</v>
      </c>
      <c r="B378" s="27">
        <v>45850</v>
      </c>
      <c r="C378" s="95">
        <v>432612.47</v>
      </c>
      <c r="D378" s="210">
        <v>0</v>
      </c>
      <c r="E378" s="209">
        <f t="shared" ref="E378:E441" si="54">C378-D378</f>
        <v>432612.47</v>
      </c>
      <c r="F378" s="28">
        <v>39157</v>
      </c>
      <c r="G378" s="28">
        <f t="shared" ref="G378:G441" si="55">E378/F378</f>
        <v>11.048151543785274</v>
      </c>
      <c r="H378" s="65">
        <f t="shared" si="52"/>
        <v>0</v>
      </c>
      <c r="I378" s="72">
        <f t="shared" ref="I378:I441" si="56">G378/$G$186-1</f>
        <v>4.1516781064583785E-2</v>
      </c>
      <c r="J378" s="207">
        <v>170.11</v>
      </c>
      <c r="K378" s="65">
        <f t="shared" si="53"/>
        <v>0</v>
      </c>
      <c r="L378" s="72">
        <f t="shared" ref="L378:L441" si="57">J378/$J$186-1</f>
        <v>9.3954983922829749E-2</v>
      </c>
    </row>
    <row r="379" spans="1:13" ht="15.75" hidden="1" thickBot="1" x14ac:dyDescent="0.3">
      <c r="A379">
        <v>3</v>
      </c>
      <c r="B379" s="27">
        <v>45851</v>
      </c>
      <c r="C379" s="95">
        <v>432612.47</v>
      </c>
      <c r="D379" s="210">
        <v>0</v>
      </c>
      <c r="E379" s="209">
        <f t="shared" si="54"/>
        <v>432612.47</v>
      </c>
      <c r="F379" s="28">
        <v>39157</v>
      </c>
      <c r="G379" s="28">
        <f t="shared" si="55"/>
        <v>11.048151543785274</v>
      </c>
      <c r="H379" s="65">
        <f t="shared" ref="H379:H442" si="58">G379/G378 -1</f>
        <v>0</v>
      </c>
      <c r="I379" s="72">
        <f t="shared" si="56"/>
        <v>4.1516781064583785E-2</v>
      </c>
      <c r="J379" s="207">
        <v>170.11</v>
      </c>
      <c r="K379" s="65">
        <f t="shared" ref="K379:K442" si="59">J379/J378 -1</f>
        <v>0</v>
      </c>
      <c r="L379" s="72">
        <f t="shared" si="57"/>
        <v>9.3954983922829749E-2</v>
      </c>
    </row>
    <row r="380" spans="1:13" ht="15.75" hidden="1" thickBot="1" x14ac:dyDescent="0.3">
      <c r="A380">
        <v>3</v>
      </c>
      <c r="B380" s="27">
        <v>45852</v>
      </c>
      <c r="C380" s="98">
        <v>434860.47000000009</v>
      </c>
      <c r="D380" s="210">
        <v>0</v>
      </c>
      <c r="E380" s="209">
        <f t="shared" si="54"/>
        <v>434860.47000000009</v>
      </c>
      <c r="F380" s="28">
        <v>39157</v>
      </c>
      <c r="G380" s="28">
        <f t="shared" si="55"/>
        <v>11.105561457721482</v>
      </c>
      <c r="H380" s="65">
        <f t="shared" si="58"/>
        <v>5.1963365734697398E-3</v>
      </c>
      <c r="I380" s="72">
        <f t="shared" si="56"/>
        <v>4.6928852805912413E-2</v>
      </c>
      <c r="J380" s="207">
        <v>170.46</v>
      </c>
      <c r="K380" s="65">
        <f t="shared" si="59"/>
        <v>2.0574922109222182E-3</v>
      </c>
      <c r="L380" s="72">
        <f t="shared" si="57"/>
        <v>9.6205787781350471E-2</v>
      </c>
    </row>
    <row r="381" spans="1:13" ht="15.75" hidden="1" thickBot="1" x14ac:dyDescent="0.3">
      <c r="A381">
        <v>3</v>
      </c>
      <c r="B381" s="27">
        <v>45853</v>
      </c>
      <c r="C381" s="98">
        <v>432807.47000000009</v>
      </c>
      <c r="D381" s="210">
        <v>0</v>
      </c>
      <c r="E381" s="209">
        <f t="shared" si="54"/>
        <v>432807.47000000009</v>
      </c>
      <c r="F381" s="28">
        <v>39157</v>
      </c>
      <c r="G381" s="28">
        <f t="shared" si="55"/>
        <v>11.053131496284191</v>
      </c>
      <c r="H381" s="65">
        <f t="shared" si="58"/>
        <v>-4.7210545488303168E-3</v>
      </c>
      <c r="I381" s="72">
        <f t="shared" si="56"/>
        <v>4.1986244583071208E-2</v>
      </c>
      <c r="J381" s="207">
        <v>169.47</v>
      </c>
      <c r="K381" s="65">
        <f t="shared" si="59"/>
        <v>-5.8078141499472435E-3</v>
      </c>
      <c r="L381" s="72">
        <f t="shared" si="57"/>
        <v>8.9839228295820028E-2</v>
      </c>
    </row>
    <row r="382" spans="1:13" ht="15.75" hidden="1" thickBot="1" x14ac:dyDescent="0.3">
      <c r="A382">
        <v>3</v>
      </c>
      <c r="B382" s="27">
        <v>45854</v>
      </c>
      <c r="C382" s="98">
        <v>434150.70000000019</v>
      </c>
      <c r="D382" s="210">
        <v>0</v>
      </c>
      <c r="E382" s="209">
        <f t="shared" si="54"/>
        <v>434150.70000000019</v>
      </c>
      <c r="F382" s="28">
        <v>39157</v>
      </c>
      <c r="G382" s="28">
        <f t="shared" si="55"/>
        <v>11.087435196771974</v>
      </c>
      <c r="H382" s="65">
        <f t="shared" si="58"/>
        <v>3.10352776489764E-3</v>
      </c>
      <c r="I382" s="72">
        <f t="shared" si="56"/>
        <v>4.522007782377635E-2</v>
      </c>
      <c r="J382" s="207">
        <v>170</v>
      </c>
      <c r="K382" s="65">
        <f t="shared" si="59"/>
        <v>3.127397179441882E-3</v>
      </c>
      <c r="L382" s="72">
        <f t="shared" si="57"/>
        <v>9.3247588424437255E-2</v>
      </c>
    </row>
    <row r="383" spans="1:13" ht="15.75" hidden="1" thickBot="1" x14ac:dyDescent="0.3">
      <c r="A383">
        <v>3</v>
      </c>
      <c r="B383" s="27">
        <v>45855</v>
      </c>
      <c r="C383" s="98">
        <v>438507.88</v>
      </c>
      <c r="D383" s="210">
        <v>0</v>
      </c>
      <c r="E383" s="209">
        <f t="shared" si="54"/>
        <v>438507.88</v>
      </c>
      <c r="F383" s="28">
        <v>39157</v>
      </c>
      <c r="G383" s="28">
        <f t="shared" si="55"/>
        <v>11.198709809229513</v>
      </c>
      <c r="H383" s="65">
        <f t="shared" si="58"/>
        <v>1.003610036791347E-2</v>
      </c>
      <c r="I383" s="72">
        <f t="shared" si="56"/>
        <v>5.5710011431373996E-2</v>
      </c>
      <c r="J383" s="207">
        <v>170.95</v>
      </c>
      <c r="K383" s="65">
        <f t="shared" si="59"/>
        <v>5.5882352941176716E-3</v>
      </c>
      <c r="L383" s="72">
        <f t="shared" si="57"/>
        <v>9.935691318327966E-2</v>
      </c>
    </row>
    <row r="384" spans="1:13" ht="15.75" hidden="1" thickBot="1" x14ac:dyDescent="0.3">
      <c r="A384">
        <v>3</v>
      </c>
      <c r="B384" s="27">
        <v>45856</v>
      </c>
      <c r="C384" s="98">
        <v>439484.11</v>
      </c>
      <c r="D384" s="210">
        <v>0</v>
      </c>
      <c r="E384" s="209">
        <f t="shared" si="54"/>
        <v>439484.11</v>
      </c>
      <c r="F384" s="28">
        <v>39157</v>
      </c>
      <c r="G384" s="28">
        <f t="shared" si="55"/>
        <v>11.223640983732155</v>
      </c>
      <c r="H384" s="65">
        <f t="shared" si="58"/>
        <v>2.2262541781459255E-3</v>
      </c>
      <c r="I384" s="72">
        <f t="shared" si="56"/>
        <v>5.8060290255233626E-2</v>
      </c>
      <c r="J384" s="207">
        <v>170.81</v>
      </c>
      <c r="K384" s="65">
        <f t="shared" si="59"/>
        <v>-8.189529102076154E-4</v>
      </c>
      <c r="L384" s="72">
        <f t="shared" si="57"/>
        <v>9.8456591639871416E-2</v>
      </c>
    </row>
    <row r="385" spans="1:12" ht="15.75" hidden="1" thickBot="1" x14ac:dyDescent="0.3">
      <c r="A385">
        <v>3</v>
      </c>
      <c r="B385" s="27">
        <v>45857</v>
      </c>
      <c r="C385" s="98">
        <v>439484.11</v>
      </c>
      <c r="D385" s="210">
        <v>0</v>
      </c>
      <c r="E385" s="209">
        <f t="shared" si="54"/>
        <v>439484.11</v>
      </c>
      <c r="F385" s="28">
        <v>39157</v>
      </c>
      <c r="G385" s="28">
        <f t="shared" si="55"/>
        <v>11.223640983732155</v>
      </c>
      <c r="H385" s="65">
        <f t="shared" si="58"/>
        <v>0</v>
      </c>
      <c r="I385" s="72">
        <f t="shared" si="56"/>
        <v>5.8060290255233626E-2</v>
      </c>
      <c r="J385" s="207">
        <v>170.81</v>
      </c>
      <c r="K385" s="65">
        <f t="shared" si="59"/>
        <v>0</v>
      </c>
      <c r="L385" s="72">
        <f t="shared" si="57"/>
        <v>9.8456591639871416E-2</v>
      </c>
    </row>
    <row r="386" spans="1:12" ht="15.75" hidden="1" thickBot="1" x14ac:dyDescent="0.3">
      <c r="A386">
        <v>3</v>
      </c>
      <c r="B386" s="27">
        <v>45858</v>
      </c>
      <c r="C386" s="98">
        <v>439484.11</v>
      </c>
      <c r="D386" s="210">
        <v>0</v>
      </c>
      <c r="E386" s="209">
        <f t="shared" si="54"/>
        <v>439484.11</v>
      </c>
      <c r="F386" s="28">
        <v>39157</v>
      </c>
      <c r="G386" s="28">
        <f t="shared" si="55"/>
        <v>11.223640983732155</v>
      </c>
      <c r="H386" s="65">
        <f t="shared" si="58"/>
        <v>0</v>
      </c>
      <c r="I386" s="72">
        <f t="shared" si="56"/>
        <v>5.8060290255233626E-2</v>
      </c>
      <c r="J386" s="207">
        <v>170.81</v>
      </c>
      <c r="K386" s="65">
        <f t="shared" si="59"/>
        <v>0</v>
      </c>
      <c r="L386" s="72">
        <f t="shared" si="57"/>
        <v>9.8456591639871416E-2</v>
      </c>
    </row>
    <row r="387" spans="1:12" ht="15.75" hidden="1" thickBot="1" x14ac:dyDescent="0.3">
      <c r="A387">
        <v>3</v>
      </c>
      <c r="B387" s="27">
        <v>45859</v>
      </c>
      <c r="C387" s="98">
        <v>439699.16000000003</v>
      </c>
      <c r="D387" s="210">
        <v>0</v>
      </c>
      <c r="E387" s="209">
        <f t="shared" si="54"/>
        <v>439699.16000000003</v>
      </c>
      <c r="F387" s="28">
        <v>39157</v>
      </c>
      <c r="G387" s="28">
        <f t="shared" si="55"/>
        <v>11.22913297750083</v>
      </c>
      <c r="H387" s="65">
        <f t="shared" si="58"/>
        <v>4.8932372094179222E-4</v>
      </c>
      <c r="I387" s="72">
        <f t="shared" si="56"/>
        <v>5.8578024253442162E-2</v>
      </c>
      <c r="J387" s="207">
        <v>171.22</v>
      </c>
      <c r="K387" s="65">
        <f t="shared" si="59"/>
        <v>2.4003278496576019E-3</v>
      </c>
      <c r="L387" s="72">
        <f t="shared" si="57"/>
        <v>0.10109324758842453</v>
      </c>
    </row>
    <row r="388" spans="1:12" ht="15.75" hidden="1" thickBot="1" x14ac:dyDescent="0.3">
      <c r="A388">
        <v>3</v>
      </c>
      <c r="B388" s="27">
        <v>45860</v>
      </c>
      <c r="C388" s="98">
        <v>438257.78</v>
      </c>
      <c r="D388" s="210">
        <v>0</v>
      </c>
      <c r="E388" s="209">
        <f t="shared" si="54"/>
        <v>438257.78</v>
      </c>
      <c r="F388" s="28">
        <v>39157</v>
      </c>
      <c r="G388" s="28">
        <f t="shared" si="55"/>
        <v>11.192322700921931</v>
      </c>
      <c r="H388" s="65">
        <f t="shared" si="58"/>
        <v>-3.2781049661317896E-3</v>
      </c>
      <c r="I388" s="72">
        <f t="shared" si="56"/>
        <v>5.5107894375098887E-2</v>
      </c>
      <c r="J388" s="207">
        <v>171.52</v>
      </c>
      <c r="K388" s="65">
        <f t="shared" si="59"/>
        <v>1.7521317603084174E-3</v>
      </c>
      <c r="L388" s="72">
        <f t="shared" si="57"/>
        <v>0.10302250803858537</v>
      </c>
    </row>
    <row r="389" spans="1:12" ht="15.75" hidden="1" thickBot="1" x14ac:dyDescent="0.3">
      <c r="A389">
        <v>3</v>
      </c>
      <c r="B389" s="27">
        <v>45861</v>
      </c>
      <c r="C389" s="95">
        <v>442020.64</v>
      </c>
      <c r="D389" s="210">
        <v>0</v>
      </c>
      <c r="E389" s="209">
        <f t="shared" si="54"/>
        <v>442020.64</v>
      </c>
      <c r="F389" s="28">
        <v>39157</v>
      </c>
      <c r="G389" s="28">
        <f t="shared" si="55"/>
        <v>11.288419439691499</v>
      </c>
      <c r="H389" s="65">
        <f t="shared" si="58"/>
        <v>8.5859514005659499E-3</v>
      </c>
      <c r="I389" s="72">
        <f t="shared" si="56"/>
        <v>6.4166999478557196E-2</v>
      </c>
      <c r="J389" s="207">
        <v>173.49</v>
      </c>
      <c r="K389" s="65">
        <f t="shared" si="59"/>
        <v>1.148554104477606E-2</v>
      </c>
      <c r="L389" s="72">
        <f t="shared" si="57"/>
        <v>0.11569131832797441</v>
      </c>
    </row>
    <row r="390" spans="1:12" ht="15.75" hidden="1" thickBot="1" x14ac:dyDescent="0.3">
      <c r="A390">
        <v>3</v>
      </c>
      <c r="B390" s="27">
        <v>45862</v>
      </c>
      <c r="C390" s="95">
        <v>442247.14</v>
      </c>
      <c r="D390" s="210">
        <v>0</v>
      </c>
      <c r="E390" s="209">
        <f t="shared" si="54"/>
        <v>442247.14</v>
      </c>
      <c r="F390" s="28">
        <v>39157</v>
      </c>
      <c r="G390" s="28">
        <f t="shared" si="55"/>
        <v>11.294203846055623</v>
      </c>
      <c r="H390" s="65">
        <f t="shared" si="58"/>
        <v>5.1241951054592505E-4</v>
      </c>
      <c r="I390" s="72">
        <f t="shared" si="56"/>
        <v>6.4712299411569196E-2</v>
      </c>
      <c r="J390" s="207">
        <v>173.25</v>
      </c>
      <c r="K390" s="65">
        <f t="shared" si="59"/>
        <v>-1.3833650354487803E-3</v>
      </c>
      <c r="L390" s="72">
        <f t="shared" si="57"/>
        <v>0.11414790996784574</v>
      </c>
    </row>
    <row r="391" spans="1:12" ht="15.75" hidden="1" thickBot="1" x14ac:dyDescent="0.3">
      <c r="A391">
        <v>3</v>
      </c>
      <c r="B391" s="27">
        <v>45863</v>
      </c>
      <c r="C391" s="95">
        <v>444679.57999999996</v>
      </c>
      <c r="D391" s="210">
        <v>0</v>
      </c>
      <c r="E391" s="209">
        <f t="shared" si="54"/>
        <v>444679.57999999996</v>
      </c>
      <c r="F391" s="28">
        <v>39157</v>
      </c>
      <c r="G391" s="28">
        <f t="shared" si="55"/>
        <v>11.356324028909262</v>
      </c>
      <c r="H391" s="65">
        <f t="shared" si="58"/>
        <v>5.5001825449902952E-3</v>
      </c>
      <c r="I391" s="72">
        <f t="shared" si="56"/>
        <v>7.0568411416229271E-2</v>
      </c>
      <c r="J391" s="207">
        <v>173.75</v>
      </c>
      <c r="K391" s="65">
        <f t="shared" si="59"/>
        <v>2.8860028860029363E-3</v>
      </c>
      <c r="L391" s="72">
        <f t="shared" si="57"/>
        <v>0.11736334405144699</v>
      </c>
    </row>
    <row r="392" spans="1:12" ht="15.75" hidden="1" thickBot="1" x14ac:dyDescent="0.3">
      <c r="A392">
        <v>3</v>
      </c>
      <c r="B392" s="27">
        <v>45864</v>
      </c>
      <c r="C392" s="95">
        <v>444679.57999999996</v>
      </c>
      <c r="D392" s="210">
        <v>0</v>
      </c>
      <c r="E392" s="209">
        <f t="shared" si="54"/>
        <v>444679.57999999996</v>
      </c>
      <c r="F392" s="28">
        <v>39157</v>
      </c>
      <c r="G392" s="28">
        <f t="shared" si="55"/>
        <v>11.356324028909262</v>
      </c>
      <c r="H392" s="65">
        <f t="shared" si="58"/>
        <v>0</v>
      </c>
      <c r="I392" s="72">
        <f t="shared" si="56"/>
        <v>7.0568411416229271E-2</v>
      </c>
      <c r="J392" s="207">
        <v>173.75</v>
      </c>
      <c r="K392" s="65">
        <f t="shared" si="59"/>
        <v>0</v>
      </c>
      <c r="L392" s="72">
        <f t="shared" si="57"/>
        <v>0.11736334405144699</v>
      </c>
    </row>
    <row r="393" spans="1:12" ht="15.75" hidden="1" thickBot="1" x14ac:dyDescent="0.3">
      <c r="A393">
        <v>3</v>
      </c>
      <c r="B393" s="27">
        <v>45865</v>
      </c>
      <c r="C393" s="95">
        <v>444679.57999999996</v>
      </c>
      <c r="D393" s="210">
        <v>0</v>
      </c>
      <c r="E393" s="209">
        <f t="shared" si="54"/>
        <v>444679.57999999996</v>
      </c>
      <c r="F393" s="28">
        <v>39157</v>
      </c>
      <c r="G393" s="28">
        <f t="shared" si="55"/>
        <v>11.356324028909262</v>
      </c>
      <c r="H393" s="65">
        <f t="shared" si="58"/>
        <v>0</v>
      </c>
      <c r="I393" s="72">
        <f t="shared" si="56"/>
        <v>7.0568411416229271E-2</v>
      </c>
      <c r="J393" s="207">
        <v>173.75</v>
      </c>
      <c r="K393" s="65">
        <f t="shared" si="59"/>
        <v>0</v>
      </c>
      <c r="L393" s="72">
        <f t="shared" si="57"/>
        <v>0.11736334405144699</v>
      </c>
    </row>
    <row r="394" spans="1:12" ht="15.75" hidden="1" thickBot="1" x14ac:dyDescent="0.3">
      <c r="A394">
        <v>3</v>
      </c>
      <c r="B394" s="27">
        <v>45866</v>
      </c>
      <c r="C394" s="95">
        <v>444071.38</v>
      </c>
      <c r="D394" s="210">
        <v>0</v>
      </c>
      <c r="E394" s="209">
        <f t="shared" si="54"/>
        <v>444071.38</v>
      </c>
      <c r="F394" s="28">
        <v>39157</v>
      </c>
      <c r="G394" s="28">
        <f t="shared" si="55"/>
        <v>11.340791684756239</v>
      </c>
      <c r="H394" s="65">
        <f t="shared" si="58"/>
        <v>-1.3677263975105936E-3</v>
      </c>
      <c r="I394" s="72">
        <f t="shared" si="56"/>
        <v>6.9104166739594186E-2</v>
      </c>
      <c r="J394" s="207">
        <v>173</v>
      </c>
      <c r="K394" s="65">
        <f t="shared" si="59"/>
        <v>-4.3165467625899678E-3</v>
      </c>
      <c r="L394" s="72">
        <f t="shared" si="57"/>
        <v>0.112540192926045</v>
      </c>
    </row>
    <row r="395" spans="1:12" ht="15.75" hidden="1" thickBot="1" x14ac:dyDescent="0.3">
      <c r="A395">
        <v>3</v>
      </c>
      <c r="B395" s="27">
        <v>45867</v>
      </c>
      <c r="C395" s="95">
        <v>441335.01000000013</v>
      </c>
      <c r="D395" s="210">
        <v>0</v>
      </c>
      <c r="E395" s="209">
        <f t="shared" si="54"/>
        <v>441335.01000000013</v>
      </c>
      <c r="F395" s="28">
        <v>39157</v>
      </c>
      <c r="G395" s="28">
        <f t="shared" si="55"/>
        <v>11.270909671323139</v>
      </c>
      <c r="H395" s="65">
        <f t="shared" si="58"/>
        <v>-6.1620048560658836E-3</v>
      </c>
      <c r="I395" s="72">
        <f t="shared" si="56"/>
        <v>6.2516341672504527E-2</v>
      </c>
      <c r="J395" s="207">
        <v>172.63</v>
      </c>
      <c r="K395" s="65">
        <f t="shared" si="59"/>
        <v>-2.1387283236994348E-3</v>
      </c>
      <c r="L395" s="72">
        <f t="shared" si="57"/>
        <v>0.11016077170417993</v>
      </c>
    </row>
    <row r="396" spans="1:12" ht="15.75" hidden="1" thickBot="1" x14ac:dyDescent="0.3">
      <c r="A396">
        <v>3</v>
      </c>
      <c r="B396" s="27">
        <v>45868</v>
      </c>
      <c r="C396" s="95">
        <v>442332.65</v>
      </c>
      <c r="D396" s="210">
        <v>0</v>
      </c>
      <c r="E396" s="209">
        <f t="shared" si="54"/>
        <v>442332.65</v>
      </c>
      <c r="F396" s="28">
        <v>39157</v>
      </c>
      <c r="G396" s="28">
        <f t="shared" si="55"/>
        <v>11.296387619071941</v>
      </c>
      <c r="H396" s="65">
        <f t="shared" si="58"/>
        <v>2.2605050072956878E-3</v>
      </c>
      <c r="I396" s="72">
        <f t="shared" si="56"/>
        <v>6.4918165183188714E-2</v>
      </c>
      <c r="J396" s="207">
        <v>172.14</v>
      </c>
      <c r="K396" s="65">
        <f t="shared" si="59"/>
        <v>-2.838440595493319E-3</v>
      </c>
      <c r="L396" s="72">
        <f t="shared" si="57"/>
        <v>0.10700964630225074</v>
      </c>
    </row>
    <row r="397" spans="1:12" ht="15.75" hidden="1" thickBot="1" x14ac:dyDescent="0.3">
      <c r="A397">
        <v>3</v>
      </c>
      <c r="B397" s="27">
        <v>45869</v>
      </c>
      <c r="C397" s="95">
        <v>442534.55</v>
      </c>
      <c r="D397" s="210">
        <v>0</v>
      </c>
      <c r="E397" s="209">
        <f t="shared" si="54"/>
        <v>442534.55</v>
      </c>
      <c r="F397" s="28">
        <v>39157</v>
      </c>
      <c r="G397" s="28">
        <f t="shared" si="55"/>
        <v>11.301543785274664</v>
      </c>
      <c r="H397" s="65">
        <f t="shared" si="58"/>
        <v>4.5644380987930333E-4</v>
      </c>
      <c r="I397" s="72">
        <f t="shared" si="56"/>
        <v>6.5404240487714649E-2</v>
      </c>
      <c r="J397" s="207">
        <v>171.1</v>
      </c>
      <c r="K397" s="65">
        <f t="shared" si="59"/>
        <v>-6.041594051353516E-3</v>
      </c>
      <c r="L397" s="72">
        <f t="shared" si="57"/>
        <v>0.10032154340836019</v>
      </c>
    </row>
    <row r="398" spans="1:12" ht="15.75" hidden="1" thickBot="1" x14ac:dyDescent="0.3">
      <c r="A398">
        <v>3</v>
      </c>
      <c r="B398" s="27">
        <v>45870</v>
      </c>
      <c r="C398" s="95">
        <v>434638.05000000005</v>
      </c>
      <c r="D398" s="210">
        <v>0</v>
      </c>
      <c r="E398" s="209">
        <f t="shared" si="54"/>
        <v>434638.05000000005</v>
      </c>
      <c r="F398" s="28">
        <v>39157</v>
      </c>
      <c r="G398" s="28">
        <f t="shared" si="55"/>
        <v>11.099881247286566</v>
      </c>
      <c r="H398" s="65">
        <f t="shared" si="58"/>
        <v>-1.7843804511986527E-2</v>
      </c>
      <c r="I398" s="72">
        <f t="shared" si="56"/>
        <v>4.6393375494210298E-2</v>
      </c>
      <c r="J398" s="207">
        <v>168.96</v>
      </c>
      <c r="K398" s="65">
        <f t="shared" si="59"/>
        <v>-1.250730566919922E-2</v>
      </c>
      <c r="L398" s="72">
        <f t="shared" si="57"/>
        <v>8.6559485530546709E-2</v>
      </c>
    </row>
    <row r="399" spans="1:12" ht="15.75" hidden="1" thickBot="1" x14ac:dyDescent="0.3">
      <c r="A399">
        <v>3</v>
      </c>
      <c r="B399" s="27">
        <v>45871</v>
      </c>
      <c r="C399" s="95">
        <v>434638.05000000005</v>
      </c>
      <c r="D399" s="210">
        <v>0</v>
      </c>
      <c r="E399" s="209">
        <f t="shared" si="54"/>
        <v>434638.05000000005</v>
      </c>
      <c r="F399" s="28">
        <v>39157</v>
      </c>
      <c r="G399" s="28">
        <f t="shared" si="55"/>
        <v>11.099881247286566</v>
      </c>
      <c r="H399" s="65">
        <f t="shared" si="58"/>
        <v>0</v>
      </c>
      <c r="I399" s="72">
        <f t="shared" si="56"/>
        <v>4.6393375494210298E-2</v>
      </c>
      <c r="J399" s="207">
        <v>168.96</v>
      </c>
      <c r="K399" s="65">
        <f t="shared" si="59"/>
        <v>0</v>
      </c>
      <c r="L399" s="72">
        <f t="shared" si="57"/>
        <v>8.6559485530546709E-2</v>
      </c>
    </row>
    <row r="400" spans="1:12" ht="15.75" hidden="1" thickBot="1" x14ac:dyDescent="0.3">
      <c r="A400">
        <v>3</v>
      </c>
      <c r="B400" s="27">
        <v>45872</v>
      </c>
      <c r="C400" s="95">
        <v>434638.05000000005</v>
      </c>
      <c r="D400" s="210">
        <v>0</v>
      </c>
      <c r="E400" s="209">
        <f t="shared" si="54"/>
        <v>434638.05000000005</v>
      </c>
      <c r="F400" s="28">
        <v>39157</v>
      </c>
      <c r="G400" s="28">
        <f t="shared" si="55"/>
        <v>11.099881247286566</v>
      </c>
      <c r="H400" s="65">
        <f t="shared" si="58"/>
        <v>0</v>
      </c>
      <c r="I400" s="72">
        <f t="shared" si="56"/>
        <v>4.6393375494210298E-2</v>
      </c>
      <c r="J400" s="207">
        <v>168.96</v>
      </c>
      <c r="K400" s="65">
        <f t="shared" si="59"/>
        <v>0</v>
      </c>
      <c r="L400" s="72">
        <f t="shared" si="57"/>
        <v>8.6559485530546709E-2</v>
      </c>
    </row>
    <row r="401" spans="1:12" ht="15.75" hidden="1" thickBot="1" x14ac:dyDescent="0.3">
      <c r="A401">
        <v>3</v>
      </c>
      <c r="B401" s="27">
        <v>45873</v>
      </c>
      <c r="C401" s="95">
        <v>441255.59000000008</v>
      </c>
      <c r="D401" s="210">
        <v>0</v>
      </c>
      <c r="E401" s="209">
        <f t="shared" si="54"/>
        <v>441255.59000000008</v>
      </c>
      <c r="F401" s="28">
        <v>39157</v>
      </c>
      <c r="G401" s="28">
        <f t="shared" si="55"/>
        <v>11.268881426054092</v>
      </c>
      <c r="H401" s="65">
        <f t="shared" si="58"/>
        <v>1.5225404218521588E-2</v>
      </c>
      <c r="I401" s="72">
        <f t="shared" si="56"/>
        <v>6.2325137607692982E-2</v>
      </c>
      <c r="J401" s="207">
        <v>171.42</v>
      </c>
      <c r="K401" s="65">
        <f t="shared" si="59"/>
        <v>1.455965909090895E-2</v>
      </c>
      <c r="L401" s="72">
        <f t="shared" si="57"/>
        <v>0.10237942122186494</v>
      </c>
    </row>
    <row r="402" spans="1:12" ht="15.75" hidden="1" thickBot="1" x14ac:dyDescent="0.3">
      <c r="A402">
        <v>3</v>
      </c>
      <c r="B402" s="27">
        <v>45874</v>
      </c>
      <c r="C402" s="95">
        <v>435988.53</v>
      </c>
      <c r="D402" s="210">
        <v>0</v>
      </c>
      <c r="E402" s="209">
        <f t="shared" si="54"/>
        <v>435988.53</v>
      </c>
      <c r="F402" s="28">
        <v>39157</v>
      </c>
      <c r="G402" s="28">
        <f t="shared" si="55"/>
        <v>11.134370099854433</v>
      </c>
      <c r="H402" s="65">
        <f t="shared" si="58"/>
        <v>-1.19365286681129E-2</v>
      </c>
      <c r="I402" s="72">
        <f t="shared" si="56"/>
        <v>4.964466314778182E-2</v>
      </c>
      <c r="J402" s="207">
        <v>170.84</v>
      </c>
      <c r="K402" s="65">
        <f t="shared" si="59"/>
        <v>-3.3835025084586468E-3</v>
      </c>
      <c r="L402" s="72">
        <f t="shared" si="57"/>
        <v>9.8649517684887389E-2</v>
      </c>
    </row>
    <row r="403" spans="1:12" ht="15.75" hidden="1" thickBot="1" x14ac:dyDescent="0.3">
      <c r="A403">
        <v>3</v>
      </c>
      <c r="B403" s="27">
        <v>45875</v>
      </c>
      <c r="C403" s="95">
        <v>437338.08</v>
      </c>
      <c r="D403" s="210">
        <v>0</v>
      </c>
      <c r="E403" s="209">
        <f t="shared" si="54"/>
        <v>437338.08</v>
      </c>
      <c r="F403" s="28">
        <v>39157</v>
      </c>
      <c r="G403" s="28">
        <f t="shared" si="55"/>
        <v>11.168835201879613</v>
      </c>
      <c r="H403" s="65">
        <f t="shared" si="58"/>
        <v>3.0953795963393205E-3</v>
      </c>
      <c r="I403" s="72">
        <f t="shared" si="56"/>
        <v>5.2893711821495826E-2</v>
      </c>
      <c r="J403" s="207">
        <v>172.19</v>
      </c>
      <c r="K403" s="65">
        <f t="shared" si="59"/>
        <v>7.9021306485600462E-3</v>
      </c>
      <c r="L403" s="72">
        <f t="shared" si="57"/>
        <v>0.10733118971061084</v>
      </c>
    </row>
    <row r="404" spans="1:12" ht="15.75" hidden="1" thickBot="1" x14ac:dyDescent="0.3">
      <c r="A404">
        <v>3</v>
      </c>
      <c r="B404" s="27">
        <v>45876</v>
      </c>
      <c r="C404" s="225">
        <v>438709.77</v>
      </c>
      <c r="D404" s="210">
        <v>0</v>
      </c>
      <c r="E404" s="209">
        <f t="shared" si="54"/>
        <v>438709.77</v>
      </c>
      <c r="F404" s="28">
        <v>39157</v>
      </c>
      <c r="G404" s="28">
        <f t="shared" si="55"/>
        <v>11.203865720050056</v>
      </c>
      <c r="H404" s="65">
        <f t="shared" si="58"/>
        <v>3.1364522385062266E-3</v>
      </c>
      <c r="I404" s="72">
        <f t="shared" si="56"/>
        <v>5.6196062660847534E-2</v>
      </c>
      <c r="J404" s="207">
        <v>172.39</v>
      </c>
      <c r="K404" s="65">
        <f t="shared" si="59"/>
        <v>1.1615076369126953E-3</v>
      </c>
      <c r="L404" s="72">
        <f t="shared" si="57"/>
        <v>0.10861736334405125</v>
      </c>
    </row>
    <row r="405" spans="1:12" ht="15.75" hidden="1" thickBot="1" x14ac:dyDescent="0.3">
      <c r="A405">
        <v>3</v>
      </c>
      <c r="B405" s="27">
        <v>45877</v>
      </c>
      <c r="C405" s="95">
        <v>440826.31000000006</v>
      </c>
      <c r="D405" s="210">
        <v>0</v>
      </c>
      <c r="E405" s="209">
        <f t="shared" si="54"/>
        <v>440826.31000000006</v>
      </c>
      <c r="F405" s="28">
        <v>39157</v>
      </c>
      <c r="G405" s="28">
        <f t="shared" si="55"/>
        <v>11.257918379855456</v>
      </c>
      <c r="H405" s="65">
        <f t="shared" si="58"/>
        <v>4.8244651583666531E-3</v>
      </c>
      <c r="I405" s="72">
        <f t="shared" si="56"/>
        <v>6.1291643765558845E-2</v>
      </c>
      <c r="J405" s="207">
        <v>173.63</v>
      </c>
      <c r="K405" s="65">
        <f t="shared" si="59"/>
        <v>7.1929926329834526E-3</v>
      </c>
      <c r="L405" s="72">
        <f t="shared" si="57"/>
        <v>0.11659163987138266</v>
      </c>
    </row>
    <row r="406" spans="1:12" ht="15.75" hidden="1" thickBot="1" x14ac:dyDescent="0.3">
      <c r="A406">
        <v>3</v>
      </c>
      <c r="B406" s="27">
        <v>45878</v>
      </c>
      <c r="C406" s="95">
        <v>440826.31000000006</v>
      </c>
      <c r="D406" s="210">
        <v>0</v>
      </c>
      <c r="E406" s="209">
        <f t="shared" si="54"/>
        <v>440826.31000000006</v>
      </c>
      <c r="F406" s="28">
        <v>39157</v>
      </c>
      <c r="G406" s="28">
        <f t="shared" si="55"/>
        <v>11.257918379855456</v>
      </c>
      <c r="H406" s="65">
        <f t="shared" si="58"/>
        <v>0</v>
      </c>
      <c r="I406" s="72">
        <f t="shared" si="56"/>
        <v>6.1291643765558845E-2</v>
      </c>
      <c r="J406" s="207">
        <v>173.63</v>
      </c>
      <c r="K406" s="65">
        <f t="shared" si="59"/>
        <v>0</v>
      </c>
      <c r="L406" s="72">
        <f t="shared" si="57"/>
        <v>0.11659163987138266</v>
      </c>
    </row>
    <row r="407" spans="1:12" ht="15.75" hidden="1" thickBot="1" x14ac:dyDescent="0.3">
      <c r="A407">
        <v>3</v>
      </c>
      <c r="B407" s="27">
        <v>45879</v>
      </c>
      <c r="C407" s="95">
        <v>440826.31000000006</v>
      </c>
      <c r="D407" s="210">
        <v>0</v>
      </c>
      <c r="E407" s="209">
        <f t="shared" si="54"/>
        <v>440826.31000000006</v>
      </c>
      <c r="F407" s="28">
        <v>39157</v>
      </c>
      <c r="G407" s="28">
        <f t="shared" si="55"/>
        <v>11.257918379855456</v>
      </c>
      <c r="H407" s="65">
        <f t="shared" si="58"/>
        <v>0</v>
      </c>
      <c r="I407" s="72">
        <f t="shared" si="56"/>
        <v>6.1291643765558845E-2</v>
      </c>
      <c r="J407" s="207">
        <v>173.63</v>
      </c>
      <c r="K407" s="65">
        <f t="shared" si="59"/>
        <v>0</v>
      </c>
      <c r="L407" s="72">
        <f t="shared" si="57"/>
        <v>0.11659163987138266</v>
      </c>
    </row>
    <row r="408" spans="1:12" ht="15.75" hidden="1" thickBot="1" x14ac:dyDescent="0.3">
      <c r="A408">
        <v>3</v>
      </c>
      <c r="B408" s="27">
        <v>45880</v>
      </c>
      <c r="C408" s="95">
        <v>441040.64000000001</v>
      </c>
      <c r="D408" s="210">
        <v>0</v>
      </c>
      <c r="E408" s="209">
        <f t="shared" si="54"/>
        <v>441040.64000000001</v>
      </c>
      <c r="F408" s="28">
        <v>39157</v>
      </c>
      <c r="G408" s="28">
        <f t="shared" si="55"/>
        <v>11.26339198610721</v>
      </c>
      <c r="H408" s="65">
        <f t="shared" si="58"/>
        <v>4.8620056275661128E-4</v>
      </c>
      <c r="I408" s="72">
        <f t="shared" si="56"/>
        <v>6.1807644360006631E-2</v>
      </c>
      <c r="J408" s="207">
        <v>173.1</v>
      </c>
      <c r="K408" s="65">
        <f t="shared" si="59"/>
        <v>-3.0524678914933823E-3</v>
      </c>
      <c r="L408" s="72">
        <f t="shared" si="57"/>
        <v>0.11318327974276521</v>
      </c>
    </row>
    <row r="409" spans="1:12" ht="15.75" hidden="1" thickBot="1" x14ac:dyDescent="0.3">
      <c r="A409">
        <v>3</v>
      </c>
      <c r="B409" s="27">
        <v>45881</v>
      </c>
      <c r="C409" s="95">
        <v>447527.37999999995</v>
      </c>
      <c r="D409" s="210">
        <v>0</v>
      </c>
      <c r="E409" s="209">
        <f t="shared" si="54"/>
        <v>447527.37999999995</v>
      </c>
      <c r="F409" s="28">
        <v>39157</v>
      </c>
      <c r="G409" s="28">
        <f t="shared" si="55"/>
        <v>11.429051765967769</v>
      </c>
      <c r="H409" s="65">
        <f t="shared" si="58"/>
        <v>1.4707805611745561E-2</v>
      </c>
      <c r="I409" s="72">
        <f t="shared" si="56"/>
        <v>7.7424504790319038E-2</v>
      </c>
      <c r="J409" s="207">
        <v>175.12</v>
      </c>
      <c r="K409" s="65">
        <f t="shared" si="59"/>
        <v>1.1669555170421786E-2</v>
      </c>
      <c r="L409" s="72">
        <f t="shared" si="57"/>
        <v>0.12617363344051458</v>
      </c>
    </row>
    <row r="410" spans="1:12" ht="15.75" hidden="1" thickBot="1" x14ac:dyDescent="0.3">
      <c r="A410">
        <v>3</v>
      </c>
      <c r="B410" s="27">
        <v>45882</v>
      </c>
      <c r="C410" s="95">
        <v>448405.71000000008</v>
      </c>
      <c r="D410" s="210">
        <v>0</v>
      </c>
      <c r="E410" s="209">
        <f t="shared" si="54"/>
        <v>448405.71000000008</v>
      </c>
      <c r="F410" s="28">
        <v>39157</v>
      </c>
      <c r="G410" s="28">
        <f t="shared" si="55"/>
        <v>11.451482748933781</v>
      </c>
      <c r="H410" s="65">
        <f t="shared" si="58"/>
        <v>1.9626285211871153E-3</v>
      </c>
      <c r="I410" s="72">
        <f t="shared" si="56"/>
        <v>7.953908885284644E-2</v>
      </c>
      <c r="J410" s="207">
        <v>175.77</v>
      </c>
      <c r="K410" s="65">
        <f t="shared" si="59"/>
        <v>3.7117405207858223E-3</v>
      </c>
      <c r="L410" s="72">
        <f t="shared" si="57"/>
        <v>0.13035369774919614</v>
      </c>
    </row>
    <row r="411" spans="1:12" ht="15.75" hidden="1" thickBot="1" x14ac:dyDescent="0.3">
      <c r="A411">
        <v>3</v>
      </c>
      <c r="B411" s="27">
        <v>45883</v>
      </c>
      <c r="C411" s="95">
        <v>447970.31</v>
      </c>
      <c r="D411" s="210">
        <v>0</v>
      </c>
      <c r="E411" s="209">
        <f t="shared" si="54"/>
        <v>447970.31</v>
      </c>
      <c r="F411" s="28">
        <v>39157</v>
      </c>
      <c r="G411" s="28">
        <f t="shared" si="55"/>
        <v>11.44036340884133</v>
      </c>
      <c r="H411" s="65">
        <f t="shared" si="58"/>
        <v>-9.7099566372627066E-4</v>
      </c>
      <c r="I411" s="72">
        <f t="shared" si="56"/>
        <v>7.8490861078747365E-2</v>
      </c>
      <c r="J411" s="207">
        <v>175.69</v>
      </c>
      <c r="K411" s="65">
        <f t="shared" si="59"/>
        <v>-4.5514024008652676E-4</v>
      </c>
      <c r="L411" s="72">
        <f t="shared" si="57"/>
        <v>0.12983922829581984</v>
      </c>
    </row>
    <row r="412" spans="1:12" ht="15.75" hidden="1" thickBot="1" x14ac:dyDescent="0.3">
      <c r="A412">
        <v>3</v>
      </c>
      <c r="B412" s="27">
        <v>45884</v>
      </c>
      <c r="C412" s="95">
        <v>447089.34</v>
      </c>
      <c r="D412" s="210">
        <v>0</v>
      </c>
      <c r="E412" s="209">
        <f t="shared" si="54"/>
        <v>447089.34</v>
      </c>
      <c r="F412" s="28">
        <v>39157</v>
      </c>
      <c r="G412" s="28">
        <f t="shared" si="55"/>
        <v>11.417865004979953</v>
      </c>
      <c r="H412" s="65">
        <f t="shared" si="58"/>
        <v>-1.9665812227599444E-3</v>
      </c>
      <c r="I412" s="72">
        <f t="shared" si="56"/>
        <v>7.6369921202431801E-2</v>
      </c>
      <c r="J412" s="207">
        <v>175.72</v>
      </c>
      <c r="K412" s="65">
        <f t="shared" si="59"/>
        <v>1.7075530764421032E-4</v>
      </c>
      <c r="L412" s="72">
        <f t="shared" si="57"/>
        <v>0.13003215434083604</v>
      </c>
    </row>
    <row r="413" spans="1:12" ht="15.75" hidden="1" thickBot="1" x14ac:dyDescent="0.3">
      <c r="A413">
        <v>3</v>
      </c>
      <c r="B413" s="27">
        <v>45885</v>
      </c>
      <c r="C413" s="95">
        <v>447089.34</v>
      </c>
      <c r="D413" s="210">
        <v>0</v>
      </c>
      <c r="E413" s="209">
        <f t="shared" si="54"/>
        <v>447089.34</v>
      </c>
      <c r="F413" s="28">
        <v>39157</v>
      </c>
      <c r="G413" s="28">
        <f t="shared" si="55"/>
        <v>11.417865004979953</v>
      </c>
      <c r="H413" s="65">
        <f t="shared" si="58"/>
        <v>0</v>
      </c>
      <c r="I413" s="72">
        <f t="shared" si="56"/>
        <v>7.6369921202431801E-2</v>
      </c>
      <c r="J413" s="207">
        <v>175.72</v>
      </c>
      <c r="K413" s="65">
        <f t="shared" si="59"/>
        <v>0</v>
      </c>
      <c r="L413" s="72">
        <f t="shared" si="57"/>
        <v>0.13003215434083604</v>
      </c>
    </row>
    <row r="414" spans="1:12" ht="15.75" hidden="1" thickBot="1" x14ac:dyDescent="0.3">
      <c r="A414">
        <v>3</v>
      </c>
      <c r="B414" s="27">
        <v>45886</v>
      </c>
      <c r="C414" s="95">
        <v>447089.34</v>
      </c>
      <c r="D414" s="210">
        <v>0</v>
      </c>
      <c r="E414" s="209">
        <f t="shared" si="54"/>
        <v>447089.34</v>
      </c>
      <c r="F414" s="28">
        <v>39157</v>
      </c>
      <c r="G414" s="28">
        <f t="shared" si="55"/>
        <v>11.417865004979953</v>
      </c>
      <c r="H414" s="65">
        <f t="shared" si="58"/>
        <v>0</v>
      </c>
      <c r="I414" s="72">
        <f t="shared" si="56"/>
        <v>7.6369921202431801E-2</v>
      </c>
      <c r="J414" s="207">
        <v>175.72</v>
      </c>
      <c r="K414" s="65">
        <f t="shared" si="59"/>
        <v>0</v>
      </c>
      <c r="L414" s="72">
        <f t="shared" si="57"/>
        <v>0.13003215434083604</v>
      </c>
    </row>
    <row r="415" spans="1:12" ht="15.75" hidden="1" thickBot="1" x14ac:dyDescent="0.3">
      <c r="A415">
        <v>3</v>
      </c>
      <c r="B415" s="27">
        <v>45887</v>
      </c>
      <c r="C415" s="95">
        <v>446812.78</v>
      </c>
      <c r="D415" s="210">
        <v>0</v>
      </c>
      <c r="E415" s="209">
        <f t="shared" si="54"/>
        <v>446812.78</v>
      </c>
      <c r="F415" s="28">
        <v>39157</v>
      </c>
      <c r="G415" s="28">
        <f t="shared" si="55"/>
        <v>11.410802155425595</v>
      </c>
      <c r="H415" s="65">
        <f t="shared" si="58"/>
        <v>-6.185788281152238E-4</v>
      </c>
      <c r="I415" s="72">
        <f t="shared" si="56"/>
        <v>7.5704101557955816E-2</v>
      </c>
      <c r="J415" s="207">
        <v>175.52</v>
      </c>
      <c r="K415" s="65">
        <f t="shared" si="59"/>
        <v>-1.1381743683132051E-3</v>
      </c>
      <c r="L415" s="72">
        <f t="shared" si="57"/>
        <v>0.12874598070739562</v>
      </c>
    </row>
    <row r="416" spans="1:12" ht="15.75" hidden="1" thickBot="1" x14ac:dyDescent="0.3">
      <c r="A416">
        <v>3</v>
      </c>
      <c r="B416" s="27">
        <v>45888</v>
      </c>
      <c r="C416" s="95">
        <v>441055.41</v>
      </c>
      <c r="D416" s="210">
        <v>0</v>
      </c>
      <c r="E416" s="209">
        <f t="shared" si="54"/>
        <v>441055.41</v>
      </c>
      <c r="F416" s="28">
        <v>39157</v>
      </c>
      <c r="G416" s="28">
        <f t="shared" si="55"/>
        <v>11.263769185586229</v>
      </c>
      <c r="H416" s="65">
        <f t="shared" si="58"/>
        <v>-1.2885419257703479E-2</v>
      </c>
      <c r="I416" s="72">
        <f t="shared" si="56"/>
        <v>6.1843203212150311E-2</v>
      </c>
      <c r="J416" s="207">
        <v>174.79</v>
      </c>
      <c r="K416" s="65">
        <f t="shared" si="59"/>
        <v>-4.1590701914312467E-3</v>
      </c>
      <c r="L416" s="72">
        <f t="shared" si="57"/>
        <v>0.12405144694533754</v>
      </c>
    </row>
    <row r="417" spans="1:12" ht="15.75" hidden="1" thickBot="1" x14ac:dyDescent="0.3">
      <c r="A417">
        <v>3</v>
      </c>
      <c r="B417" s="27">
        <v>45889</v>
      </c>
      <c r="C417" s="95">
        <v>439547.62000000005</v>
      </c>
      <c r="D417" s="210">
        <v>0</v>
      </c>
      <c r="E417" s="209">
        <f t="shared" si="54"/>
        <v>439547.62000000005</v>
      </c>
      <c r="F417" s="28">
        <v>39157</v>
      </c>
      <c r="G417" s="28">
        <f t="shared" si="55"/>
        <v>11.225262915953726</v>
      </c>
      <c r="H417" s="65">
        <f t="shared" si="58"/>
        <v>-3.4185954095878879E-3</v>
      </c>
      <c r="I417" s="72">
        <f t="shared" si="56"/>
        <v>5.821319091194721E-2</v>
      </c>
      <c r="J417" s="207">
        <v>174.67</v>
      </c>
      <c r="K417" s="65">
        <f t="shared" si="59"/>
        <v>-6.8653813147212528E-4</v>
      </c>
      <c r="L417" s="72">
        <f t="shared" si="57"/>
        <v>0.1232797427652732</v>
      </c>
    </row>
    <row r="418" spans="1:12" ht="15.75" hidden="1" thickBot="1" x14ac:dyDescent="0.3">
      <c r="A418">
        <v>3</v>
      </c>
      <c r="B418" s="27">
        <v>45890</v>
      </c>
      <c r="C418" s="95">
        <v>437623.72</v>
      </c>
      <c r="D418" s="210">
        <v>0</v>
      </c>
      <c r="E418" s="209">
        <f t="shared" si="54"/>
        <v>437623.72</v>
      </c>
      <c r="F418" s="28">
        <v>39157</v>
      </c>
      <c r="G418" s="28">
        <f t="shared" si="55"/>
        <v>11.176129938452894</v>
      </c>
      <c r="H418" s="65">
        <f t="shared" si="58"/>
        <v>-4.3770001530212266E-3</v>
      </c>
      <c r="I418" s="72">
        <f t="shared" si="56"/>
        <v>5.3581391613396478E-2</v>
      </c>
      <c r="J418" s="207">
        <v>173.96</v>
      </c>
      <c r="K418" s="65">
        <f t="shared" si="59"/>
        <v>-4.0648079235128254E-3</v>
      </c>
      <c r="L418" s="72">
        <f t="shared" si="57"/>
        <v>0.11871382636655947</v>
      </c>
    </row>
    <row r="419" spans="1:12" ht="15.75" hidden="1" thickBot="1" x14ac:dyDescent="0.3">
      <c r="A419">
        <v>3</v>
      </c>
      <c r="B419" s="27">
        <v>45891</v>
      </c>
      <c r="C419" s="95">
        <v>445014.08</v>
      </c>
      <c r="D419" s="210">
        <v>0</v>
      </c>
      <c r="E419" s="209">
        <f t="shared" si="54"/>
        <v>445014.08</v>
      </c>
      <c r="F419" s="28">
        <v>39157</v>
      </c>
      <c r="G419" s="28">
        <f t="shared" si="55"/>
        <v>11.364866562811248</v>
      </c>
      <c r="H419" s="65">
        <f t="shared" si="58"/>
        <v>1.6887475843402777E-2</v>
      </c>
      <c r="I419" s="72">
        <f t="shared" si="56"/>
        <v>7.137372191332636E-2</v>
      </c>
      <c r="J419" s="207">
        <v>176.56</v>
      </c>
      <c r="K419" s="65">
        <f t="shared" si="59"/>
        <v>1.4945964589560878E-2</v>
      </c>
      <c r="L419" s="72">
        <f t="shared" si="57"/>
        <v>0.13543408360128617</v>
      </c>
    </row>
    <row r="420" spans="1:12" ht="15.75" hidden="1" thickBot="1" x14ac:dyDescent="0.3">
      <c r="A420">
        <v>3</v>
      </c>
      <c r="B420" s="27">
        <v>45892</v>
      </c>
      <c r="C420" s="95">
        <v>445014.08</v>
      </c>
      <c r="D420" s="210">
        <v>0</v>
      </c>
      <c r="E420" s="209">
        <f t="shared" si="54"/>
        <v>445014.08</v>
      </c>
      <c r="F420" s="28">
        <v>39157</v>
      </c>
      <c r="G420" s="28">
        <f t="shared" si="55"/>
        <v>11.364866562811248</v>
      </c>
      <c r="H420" s="65">
        <f t="shared" si="58"/>
        <v>0</v>
      </c>
      <c r="I420" s="72">
        <f t="shared" si="56"/>
        <v>7.137372191332636E-2</v>
      </c>
      <c r="J420" s="207">
        <v>176.56</v>
      </c>
      <c r="K420" s="65">
        <f t="shared" si="59"/>
        <v>0</v>
      </c>
      <c r="L420" s="72">
        <f t="shared" si="57"/>
        <v>0.13543408360128617</v>
      </c>
    </row>
    <row r="421" spans="1:12" ht="15.75" hidden="1" thickBot="1" x14ac:dyDescent="0.3">
      <c r="A421">
        <v>3</v>
      </c>
      <c r="B421" s="27">
        <v>45893</v>
      </c>
      <c r="C421" s="95">
        <v>445014.08</v>
      </c>
      <c r="D421" s="210">
        <v>0</v>
      </c>
      <c r="E421" s="209">
        <f t="shared" si="54"/>
        <v>445014.08</v>
      </c>
      <c r="F421" s="28">
        <v>39157</v>
      </c>
      <c r="G421" s="28">
        <f t="shared" si="55"/>
        <v>11.364866562811248</v>
      </c>
      <c r="H421" s="65">
        <f t="shared" si="58"/>
        <v>0</v>
      </c>
      <c r="I421" s="72">
        <f t="shared" si="56"/>
        <v>7.137372191332636E-2</v>
      </c>
      <c r="J421" s="207">
        <v>176.56</v>
      </c>
      <c r="K421" s="65">
        <f t="shared" si="59"/>
        <v>0</v>
      </c>
      <c r="L421" s="72">
        <f t="shared" si="57"/>
        <v>0.13543408360128617</v>
      </c>
    </row>
    <row r="422" spans="1:12" ht="15.75" hidden="1" thickBot="1" x14ac:dyDescent="0.3">
      <c r="A422">
        <v>3</v>
      </c>
      <c r="B422" s="27">
        <v>45894</v>
      </c>
      <c r="C422" s="95">
        <v>442928.94000000006</v>
      </c>
      <c r="D422" s="210">
        <v>0</v>
      </c>
      <c r="E422" s="209">
        <f t="shared" si="54"/>
        <v>442928.94000000006</v>
      </c>
      <c r="F422" s="28">
        <v>39157</v>
      </c>
      <c r="G422" s="28">
        <f t="shared" si="55"/>
        <v>11.311615803049264</v>
      </c>
      <c r="H422" s="65">
        <f t="shared" si="58"/>
        <v>-4.6855596119564913E-3</v>
      </c>
      <c r="I422" s="72">
        <f t="shared" si="56"/>
        <v>6.6353736472617886E-2</v>
      </c>
      <c r="J422" s="207">
        <v>175.49</v>
      </c>
      <c r="K422" s="65">
        <f t="shared" si="59"/>
        <v>-6.0602628001812375E-3</v>
      </c>
      <c r="L422" s="72">
        <f t="shared" si="57"/>
        <v>0.12855305466237943</v>
      </c>
    </row>
    <row r="423" spans="1:12" ht="15.75" hidden="1" thickBot="1" x14ac:dyDescent="0.3">
      <c r="A423">
        <v>3</v>
      </c>
      <c r="B423" s="27">
        <v>45895</v>
      </c>
      <c r="C423" s="95">
        <v>444774.18000000011</v>
      </c>
      <c r="D423" s="210">
        <v>0</v>
      </c>
      <c r="E423" s="209">
        <f t="shared" si="54"/>
        <v>444774.18000000011</v>
      </c>
      <c r="F423" s="28">
        <v>39157</v>
      </c>
      <c r="G423" s="28">
        <f t="shared" si="55"/>
        <v>11.358739944326688</v>
      </c>
      <c r="H423" s="65">
        <f t="shared" si="58"/>
        <v>4.1659955657900039E-3</v>
      </c>
      <c r="I423" s="72">
        <f t="shared" si="56"/>
        <v>7.0796161410326519E-2</v>
      </c>
      <c r="J423" s="207">
        <v>175.94</v>
      </c>
      <c r="K423" s="65">
        <f t="shared" si="59"/>
        <v>2.5642486751380478E-3</v>
      </c>
      <c r="L423" s="72">
        <f t="shared" si="57"/>
        <v>0.13144694533762058</v>
      </c>
    </row>
    <row r="424" spans="1:12" ht="15.75" hidden="1" thickBot="1" x14ac:dyDescent="0.3">
      <c r="A424">
        <v>3</v>
      </c>
      <c r="B424" s="27">
        <v>45896</v>
      </c>
      <c r="C424" s="95">
        <v>444737.05000000005</v>
      </c>
      <c r="D424" s="210">
        <v>0</v>
      </c>
      <c r="E424" s="209">
        <f t="shared" si="54"/>
        <v>444737.05000000005</v>
      </c>
      <c r="F424" s="28">
        <v>39157</v>
      </c>
      <c r="G424" s="28">
        <f t="shared" si="55"/>
        <v>11.357791710294457</v>
      </c>
      <c r="H424" s="65">
        <f t="shared" si="58"/>
        <v>-8.3480565351345959E-5</v>
      </c>
      <c r="I424" s="72">
        <f t="shared" si="56"/>
        <v>7.0706770741395752E-2</v>
      </c>
      <c r="J424" s="207">
        <v>176.21</v>
      </c>
      <c r="K424" s="65">
        <f t="shared" si="59"/>
        <v>1.534614072979501E-3</v>
      </c>
      <c r="L424" s="72">
        <f t="shared" si="57"/>
        <v>0.13318327974276523</v>
      </c>
    </row>
    <row r="425" spans="1:12" ht="15.75" hidden="1" thickBot="1" x14ac:dyDescent="0.3">
      <c r="A425">
        <v>3</v>
      </c>
      <c r="B425" s="27">
        <v>45897</v>
      </c>
      <c r="C425" s="95">
        <v>447375.66000000009</v>
      </c>
      <c r="D425" s="210">
        <v>0</v>
      </c>
      <c r="E425" s="209">
        <f t="shared" si="54"/>
        <v>447375.66000000009</v>
      </c>
      <c r="F425" s="28">
        <v>39157</v>
      </c>
      <c r="G425" s="28">
        <f t="shared" si="55"/>
        <v>11.425177107541439</v>
      </c>
      <c r="H425" s="65">
        <f t="shared" si="58"/>
        <v>5.9329664573708474E-3</v>
      </c>
      <c r="I425" s="72">
        <f t="shared" si="56"/>
        <v>7.7059238097884508E-2</v>
      </c>
      <c r="J425" s="207">
        <v>176.92</v>
      </c>
      <c r="K425" s="65">
        <f t="shared" si="59"/>
        <v>4.0292832415866897E-3</v>
      </c>
      <c r="L425" s="72">
        <f t="shared" si="57"/>
        <v>0.13774919614147896</v>
      </c>
    </row>
    <row r="426" spans="1:12" ht="15.75" hidden="1" thickBot="1" x14ac:dyDescent="0.3">
      <c r="A426">
        <v>3</v>
      </c>
      <c r="B426" s="27">
        <v>45898</v>
      </c>
      <c r="C426" s="95">
        <v>441772.76</v>
      </c>
      <c r="D426" s="210">
        <v>0</v>
      </c>
      <c r="E426" s="209">
        <f t="shared" si="54"/>
        <v>441772.76</v>
      </c>
      <c r="F426" s="28">
        <v>39157</v>
      </c>
      <c r="G426" s="28">
        <f t="shared" si="55"/>
        <v>11.28208902622775</v>
      </c>
      <c r="H426" s="65">
        <f t="shared" si="58"/>
        <v>-1.2523926759895998E-2</v>
      </c>
      <c r="I426" s="72">
        <f t="shared" si="56"/>
        <v>6.3570227083877162E-2</v>
      </c>
      <c r="J426" s="207">
        <v>175.81531000000001</v>
      </c>
      <c r="K426" s="65">
        <f t="shared" si="59"/>
        <v>-6.2440085914536869E-3</v>
      </c>
      <c r="L426" s="72">
        <f t="shared" si="57"/>
        <v>0.1306450803858521</v>
      </c>
    </row>
    <row r="427" spans="1:12" ht="15.75" hidden="1" thickBot="1" x14ac:dyDescent="0.3">
      <c r="A427">
        <v>3</v>
      </c>
      <c r="B427" s="27">
        <v>45899</v>
      </c>
      <c r="C427" s="95">
        <v>441772.76</v>
      </c>
      <c r="D427" s="210">
        <v>0</v>
      </c>
      <c r="E427" s="209">
        <f t="shared" si="54"/>
        <v>441772.76</v>
      </c>
      <c r="F427" s="28">
        <v>39157</v>
      </c>
      <c r="G427" s="28">
        <f t="shared" si="55"/>
        <v>11.28208902622775</v>
      </c>
      <c r="H427" s="65">
        <f t="shared" si="58"/>
        <v>0</v>
      </c>
      <c r="I427" s="72">
        <f t="shared" si="56"/>
        <v>6.3570227083877162E-2</v>
      </c>
      <c r="J427" s="207">
        <v>175.81531000000001</v>
      </c>
      <c r="K427" s="65">
        <f t="shared" si="59"/>
        <v>0</v>
      </c>
      <c r="L427" s="72">
        <f t="shared" si="57"/>
        <v>0.1306450803858521</v>
      </c>
    </row>
    <row r="428" spans="1:12" ht="15.75" hidden="1" thickBot="1" x14ac:dyDescent="0.3">
      <c r="A428">
        <v>3</v>
      </c>
      <c r="B428" s="27">
        <v>45900</v>
      </c>
      <c r="C428" s="95">
        <v>441772.76</v>
      </c>
      <c r="D428" s="210">
        <v>0</v>
      </c>
      <c r="E428" s="209">
        <f t="shared" si="54"/>
        <v>441772.76</v>
      </c>
      <c r="F428" s="28">
        <v>39157</v>
      </c>
      <c r="G428" s="28">
        <f t="shared" si="55"/>
        <v>11.28208902622775</v>
      </c>
      <c r="H428" s="65">
        <f t="shared" si="58"/>
        <v>0</v>
      </c>
      <c r="I428" s="72">
        <f t="shared" si="56"/>
        <v>6.3570227083877162E-2</v>
      </c>
      <c r="J428" s="207">
        <v>175.81531000000001</v>
      </c>
      <c r="K428" s="65">
        <f t="shared" si="59"/>
        <v>0</v>
      </c>
      <c r="L428" s="72">
        <f t="shared" si="57"/>
        <v>0.1306450803858521</v>
      </c>
    </row>
    <row r="429" spans="1:12" ht="15.75" hidden="1" thickBot="1" x14ac:dyDescent="0.3">
      <c r="A429">
        <v>3</v>
      </c>
      <c r="B429" s="27">
        <v>45901</v>
      </c>
      <c r="C429" s="95">
        <v>441772.76</v>
      </c>
      <c r="D429" s="210">
        <v>0</v>
      </c>
      <c r="E429" s="209">
        <f t="shared" si="54"/>
        <v>441772.76</v>
      </c>
      <c r="F429" s="28">
        <v>39157</v>
      </c>
      <c r="G429" s="28">
        <f t="shared" si="55"/>
        <v>11.28208902622775</v>
      </c>
      <c r="H429" s="65">
        <f t="shared" si="58"/>
        <v>0</v>
      </c>
      <c r="I429" s="72">
        <f t="shared" si="56"/>
        <v>6.3570227083877162E-2</v>
      </c>
      <c r="J429" s="207">
        <v>175.81531000000001</v>
      </c>
      <c r="K429" s="65">
        <f t="shared" si="59"/>
        <v>0</v>
      </c>
      <c r="L429" s="72">
        <f t="shared" si="57"/>
        <v>0.1306450803858521</v>
      </c>
    </row>
    <row r="430" spans="1:12" ht="15.75" hidden="1" thickBot="1" x14ac:dyDescent="0.3">
      <c r="A430">
        <v>3</v>
      </c>
      <c r="B430" s="27">
        <v>45902</v>
      </c>
      <c r="C430" s="95">
        <v>439435.27</v>
      </c>
      <c r="D430" s="210">
        <v>0</v>
      </c>
      <c r="E430" s="209">
        <f t="shared" si="54"/>
        <v>439435.27</v>
      </c>
      <c r="F430" s="28">
        <v>39157</v>
      </c>
      <c r="G430" s="28">
        <f t="shared" si="55"/>
        <v>11.222393697167812</v>
      </c>
      <c r="H430" s="65">
        <f t="shared" si="58"/>
        <v>-5.2911591923413548E-3</v>
      </c>
      <c r="I430" s="72">
        <f t="shared" si="56"/>
        <v>5.794270770014176E-2</v>
      </c>
      <c r="J430" s="207">
        <v>174.55</v>
      </c>
      <c r="K430" s="65">
        <f t="shared" si="59"/>
        <v>-7.1968135198237082E-3</v>
      </c>
      <c r="L430" s="72">
        <f t="shared" si="57"/>
        <v>0.12250803858520909</v>
      </c>
    </row>
    <row r="431" spans="1:12" ht="15.75" hidden="1" thickBot="1" x14ac:dyDescent="0.3">
      <c r="A431">
        <v>3</v>
      </c>
      <c r="B431" s="27">
        <v>45903</v>
      </c>
      <c r="C431" s="95">
        <v>439636.86</v>
      </c>
      <c r="D431" s="210">
        <v>0</v>
      </c>
      <c r="E431" s="209">
        <f t="shared" si="54"/>
        <v>439636.86</v>
      </c>
      <c r="F431" s="28">
        <v>39157</v>
      </c>
      <c r="G431" s="28">
        <f t="shared" si="55"/>
        <v>11.227541946522971</v>
      </c>
      <c r="H431" s="65">
        <f t="shared" si="58"/>
        <v>4.5874788339128614E-4</v>
      </c>
      <c r="I431" s="72">
        <f t="shared" si="56"/>
        <v>5.8428036678048523E-2</v>
      </c>
      <c r="J431" s="207">
        <v>175.2</v>
      </c>
      <c r="K431" s="65">
        <f t="shared" si="59"/>
        <v>3.7238613577770252E-3</v>
      </c>
      <c r="L431" s="72">
        <f t="shared" si="57"/>
        <v>0.12668810289389065</v>
      </c>
    </row>
    <row r="432" spans="1:12" ht="15.75" hidden="1" thickBot="1" x14ac:dyDescent="0.3">
      <c r="A432">
        <v>3</v>
      </c>
      <c r="B432" s="27">
        <v>45904</v>
      </c>
      <c r="C432" s="95">
        <v>442263.53000000009</v>
      </c>
      <c r="D432" s="210">
        <v>0</v>
      </c>
      <c r="E432" s="209">
        <f t="shared" si="54"/>
        <v>442263.53000000009</v>
      </c>
      <c r="F432" s="28">
        <v>39157</v>
      </c>
      <c r="G432" s="28">
        <f t="shared" si="55"/>
        <v>11.294622417447712</v>
      </c>
      <c r="H432" s="65">
        <f t="shared" si="58"/>
        <v>5.9746355207799251E-3</v>
      </c>
      <c r="I432" s="72">
        <f t="shared" si="56"/>
        <v>6.4751758422174399E-2</v>
      </c>
      <c r="J432" s="207">
        <v>176.66</v>
      </c>
      <c r="K432" s="65">
        <f t="shared" si="59"/>
        <v>8.3333333333333037E-3</v>
      </c>
      <c r="L432" s="72">
        <f t="shared" si="57"/>
        <v>0.13607717041800638</v>
      </c>
    </row>
    <row r="433" spans="1:12" ht="15.75" hidden="1" thickBot="1" x14ac:dyDescent="0.3">
      <c r="A433">
        <v>3</v>
      </c>
      <c r="B433" s="27">
        <v>45905</v>
      </c>
      <c r="C433" s="95">
        <v>440901.20999999996</v>
      </c>
      <c r="D433" s="210">
        <v>0</v>
      </c>
      <c r="E433" s="209">
        <f t="shared" si="54"/>
        <v>440901.20999999996</v>
      </c>
      <c r="F433" s="28">
        <v>39157</v>
      </c>
      <c r="G433" s="28">
        <f t="shared" si="55"/>
        <v>11.259831192379394</v>
      </c>
      <c r="H433" s="65">
        <f t="shared" si="58"/>
        <v>-3.0803353828431357E-3</v>
      </c>
      <c r="I433" s="72">
        <f t="shared" si="56"/>
        <v>6.1471965906761961E-2</v>
      </c>
      <c r="J433" s="207">
        <v>176.43</v>
      </c>
      <c r="K433" s="65">
        <f t="shared" si="59"/>
        <v>-1.3019359221102533E-3</v>
      </c>
      <c r="L433" s="72">
        <f t="shared" si="57"/>
        <v>0.13459807073954999</v>
      </c>
    </row>
    <row r="434" spans="1:12" ht="15.75" hidden="1" thickBot="1" x14ac:dyDescent="0.3">
      <c r="A434">
        <v>3</v>
      </c>
      <c r="B434" s="27">
        <v>45906</v>
      </c>
      <c r="C434" s="95">
        <v>440901.20999999996</v>
      </c>
      <c r="D434" s="210">
        <v>0</v>
      </c>
      <c r="E434" s="209">
        <f t="shared" si="54"/>
        <v>440901.20999999996</v>
      </c>
      <c r="F434" s="28">
        <v>39157</v>
      </c>
      <c r="G434" s="28">
        <f t="shared" si="55"/>
        <v>11.259831192379394</v>
      </c>
      <c r="H434" s="65">
        <f t="shared" si="58"/>
        <v>0</v>
      </c>
      <c r="I434" s="72">
        <f t="shared" si="56"/>
        <v>6.1471965906761961E-2</v>
      </c>
      <c r="J434" s="207">
        <v>176.43</v>
      </c>
      <c r="K434" s="65">
        <f t="shared" si="59"/>
        <v>0</v>
      </c>
      <c r="L434" s="72">
        <f t="shared" si="57"/>
        <v>0.13459807073954999</v>
      </c>
    </row>
    <row r="435" spans="1:12" ht="15.75" hidden="1" thickBot="1" x14ac:dyDescent="0.3">
      <c r="A435">
        <v>3</v>
      </c>
      <c r="B435" s="27">
        <v>45907</v>
      </c>
      <c r="C435" s="95">
        <v>440901.20999999996</v>
      </c>
      <c r="D435" s="210">
        <v>0</v>
      </c>
      <c r="E435" s="209">
        <f t="shared" si="54"/>
        <v>440901.20999999996</v>
      </c>
      <c r="F435" s="28">
        <v>39157</v>
      </c>
      <c r="G435" s="28">
        <f t="shared" si="55"/>
        <v>11.259831192379394</v>
      </c>
      <c r="H435" s="65">
        <f t="shared" si="58"/>
        <v>0</v>
      </c>
      <c r="I435" s="72">
        <f t="shared" si="56"/>
        <v>6.1471965906761961E-2</v>
      </c>
      <c r="J435" s="207">
        <v>176.43</v>
      </c>
      <c r="K435" s="65">
        <f t="shared" si="59"/>
        <v>0</v>
      </c>
      <c r="L435" s="72">
        <f t="shared" si="57"/>
        <v>0.13459807073954999</v>
      </c>
    </row>
    <row r="436" spans="1:12" ht="15.75" hidden="1" thickBot="1" x14ac:dyDescent="0.3">
      <c r="A436">
        <v>3</v>
      </c>
      <c r="B436" s="27">
        <v>45908</v>
      </c>
      <c r="C436" s="95">
        <v>443821.45</v>
      </c>
      <c r="D436" s="210">
        <v>0</v>
      </c>
      <c r="E436" s="209">
        <f t="shared" si="54"/>
        <v>443821.45</v>
      </c>
      <c r="F436" s="28">
        <v>39157</v>
      </c>
      <c r="G436" s="28">
        <f t="shared" si="55"/>
        <v>11.334408917945707</v>
      </c>
      <c r="H436" s="65">
        <f t="shared" si="58"/>
        <v>6.6233431294056011E-3</v>
      </c>
      <c r="I436" s="72">
        <f t="shared" si="56"/>
        <v>6.8502458959207146E-2</v>
      </c>
      <c r="J436" s="207">
        <v>177.26</v>
      </c>
      <c r="K436" s="65">
        <f t="shared" si="59"/>
        <v>4.7044153488635665E-3</v>
      </c>
      <c r="L436" s="72">
        <f t="shared" si="57"/>
        <v>0.13993569131832784</v>
      </c>
    </row>
    <row r="437" spans="1:12" ht="15.75" hidden="1" thickBot="1" x14ac:dyDescent="0.3">
      <c r="A437">
        <v>3</v>
      </c>
      <c r="B437" s="27">
        <v>45909</v>
      </c>
      <c r="C437" s="95">
        <v>446315.42000000004</v>
      </c>
      <c r="D437" s="210">
        <v>0</v>
      </c>
      <c r="E437" s="209">
        <f t="shared" si="54"/>
        <v>446315.42000000004</v>
      </c>
      <c r="F437" s="28">
        <v>39157</v>
      </c>
      <c r="G437" s="28">
        <f t="shared" si="55"/>
        <v>11.398100467349389</v>
      </c>
      <c r="H437" s="65">
        <f t="shared" si="58"/>
        <v>5.6193092965650671E-3</v>
      </c>
      <c r="I437" s="72">
        <f t="shared" si="56"/>
        <v>7.450670476023924E-2</v>
      </c>
      <c r="J437" s="207">
        <v>177.56</v>
      </c>
      <c r="K437" s="65">
        <f t="shared" si="59"/>
        <v>1.6924292000450869E-3</v>
      </c>
      <c r="L437" s="72">
        <f t="shared" si="57"/>
        <v>0.14186495176848868</v>
      </c>
    </row>
    <row r="438" spans="1:12" ht="15.75" hidden="1" thickBot="1" x14ac:dyDescent="0.3">
      <c r="A438">
        <v>3</v>
      </c>
      <c r="B438" s="27">
        <v>45910</v>
      </c>
      <c r="C438" s="95">
        <v>446650.51</v>
      </c>
      <c r="D438" s="210">
        <v>0</v>
      </c>
      <c r="E438" s="209">
        <f t="shared" si="54"/>
        <v>446650.51</v>
      </c>
      <c r="F438" s="28">
        <v>39157</v>
      </c>
      <c r="G438" s="28">
        <f t="shared" si="55"/>
        <v>11.40665806879996</v>
      </c>
      <c r="H438" s="65">
        <f t="shared" si="58"/>
        <v>7.5079189511306765E-4</v>
      </c>
      <c r="I438" s="72">
        <f t="shared" si="56"/>
        <v>7.5313435685417929E-2</v>
      </c>
      <c r="J438" s="207">
        <v>177.86</v>
      </c>
      <c r="K438" s="65">
        <f t="shared" si="59"/>
        <v>1.6895697229106776E-3</v>
      </c>
      <c r="L438" s="72">
        <f t="shared" si="57"/>
        <v>0.14379421221864952</v>
      </c>
    </row>
    <row r="439" spans="1:12" ht="15.75" hidden="1" thickBot="1" x14ac:dyDescent="0.3">
      <c r="A439">
        <v>3</v>
      </c>
      <c r="B439" s="27">
        <v>45911</v>
      </c>
      <c r="C439" s="95">
        <v>450316.04</v>
      </c>
      <c r="D439" s="210">
        <v>0</v>
      </c>
      <c r="E439" s="209">
        <f t="shared" si="54"/>
        <v>450316.04</v>
      </c>
      <c r="F439" s="28">
        <v>39157</v>
      </c>
      <c r="G439" s="28">
        <f t="shared" si="55"/>
        <v>11.50026917281712</v>
      </c>
      <c r="H439" s="65">
        <f t="shared" si="58"/>
        <v>8.2067072978377897E-3</v>
      </c>
      <c r="I439" s="72">
        <f t="shared" si="56"/>
        <v>8.4138218305520374E-2</v>
      </c>
      <c r="J439" s="207">
        <v>179.47</v>
      </c>
      <c r="K439" s="65">
        <f t="shared" si="59"/>
        <v>9.0520634206678885E-3</v>
      </c>
      <c r="L439" s="72">
        <f t="shared" si="57"/>
        <v>0.15414790996784555</v>
      </c>
    </row>
    <row r="440" spans="1:12" ht="15.75" hidden="1" thickBot="1" x14ac:dyDescent="0.3">
      <c r="A440">
        <v>3</v>
      </c>
      <c r="B440" s="27">
        <v>45912</v>
      </c>
      <c r="C440" s="95">
        <v>451643.21000000008</v>
      </c>
      <c r="D440" s="210">
        <v>0</v>
      </c>
      <c r="E440" s="209">
        <f t="shared" si="54"/>
        <v>451643.21000000008</v>
      </c>
      <c r="F440" s="28">
        <v>39157</v>
      </c>
      <c r="G440" s="28">
        <f t="shared" si="55"/>
        <v>11.534162729524736</v>
      </c>
      <c r="H440" s="65">
        <f t="shared" si="58"/>
        <v>2.9471968175953656E-3</v>
      </c>
      <c r="I440" s="72">
        <f t="shared" si="56"/>
        <v>8.7333387012343833E-2</v>
      </c>
      <c r="J440" s="207">
        <v>179.25</v>
      </c>
      <c r="K440" s="65">
        <f t="shared" si="59"/>
        <v>-1.2258316153117566E-3</v>
      </c>
      <c r="L440" s="72">
        <f t="shared" si="57"/>
        <v>0.15273311897106101</v>
      </c>
    </row>
    <row r="441" spans="1:12" ht="15.75" hidden="1" thickBot="1" x14ac:dyDescent="0.3">
      <c r="A441">
        <v>3</v>
      </c>
      <c r="B441" s="27">
        <v>45913</v>
      </c>
      <c r="C441" s="95">
        <v>451643.21000000008</v>
      </c>
      <c r="D441" s="210">
        <v>0</v>
      </c>
      <c r="E441" s="209">
        <f t="shared" si="54"/>
        <v>451643.21000000008</v>
      </c>
      <c r="F441" s="28">
        <v>39157</v>
      </c>
      <c r="G441" s="28">
        <f t="shared" si="55"/>
        <v>11.534162729524736</v>
      </c>
      <c r="H441" s="65">
        <f t="shared" si="58"/>
        <v>0</v>
      </c>
      <c r="I441" s="72">
        <f t="shared" si="56"/>
        <v>8.7333387012343833E-2</v>
      </c>
      <c r="J441" s="207">
        <v>179.25</v>
      </c>
      <c r="K441" s="65">
        <f t="shared" si="59"/>
        <v>0</v>
      </c>
      <c r="L441" s="72">
        <f t="shared" si="57"/>
        <v>0.15273311897106101</v>
      </c>
    </row>
    <row r="442" spans="1:12" ht="15.75" hidden="1" thickBot="1" x14ac:dyDescent="0.3">
      <c r="A442">
        <v>3</v>
      </c>
      <c r="B442" s="27">
        <v>45914</v>
      </c>
      <c r="C442" s="95">
        <v>451643.21000000008</v>
      </c>
      <c r="D442" s="210">
        <v>0</v>
      </c>
      <c r="E442" s="209">
        <f t="shared" ref="E442:E505" si="60">C442-D442</f>
        <v>451643.21000000008</v>
      </c>
      <c r="F442" s="28">
        <v>39157</v>
      </c>
      <c r="G442" s="28">
        <f t="shared" ref="G442:G505" si="61">E442/F442</f>
        <v>11.534162729524736</v>
      </c>
      <c r="H442" s="65">
        <f t="shared" si="58"/>
        <v>0</v>
      </c>
      <c r="I442" s="72">
        <f t="shared" ref="I442:I505" si="62">G442/$G$186-1</f>
        <v>8.7333387012343833E-2</v>
      </c>
      <c r="J442" s="207">
        <v>179.25</v>
      </c>
      <c r="K442" s="65">
        <f t="shared" si="59"/>
        <v>0</v>
      </c>
      <c r="L442" s="72">
        <f t="shared" ref="L442:L505" si="63">J442/$J$186-1</f>
        <v>0.15273311897106101</v>
      </c>
    </row>
    <row r="443" spans="1:12" ht="15.75" hidden="1" thickBot="1" x14ac:dyDescent="0.3">
      <c r="A443">
        <v>3</v>
      </c>
      <c r="B443" s="27">
        <v>45915</v>
      </c>
      <c r="C443" s="95">
        <v>454720.68000000005</v>
      </c>
      <c r="D443" s="210">
        <v>0</v>
      </c>
      <c r="E443" s="209">
        <f t="shared" si="60"/>
        <v>454720.68000000005</v>
      </c>
      <c r="F443" s="28">
        <v>39157</v>
      </c>
      <c r="G443" s="28">
        <f t="shared" si="61"/>
        <v>11.612755829098246</v>
      </c>
      <c r="H443" s="65">
        <f t="shared" ref="H443:H506" si="64">G443/G442 -1</f>
        <v>6.8139405881910697E-3</v>
      </c>
      <c r="I443" s="72">
        <f t="shared" si="62"/>
        <v>9.4742412111002761E-2</v>
      </c>
      <c r="J443" s="207">
        <v>180.18</v>
      </c>
      <c r="K443" s="65">
        <f t="shared" ref="K443:K506" si="65">J443/J442 -1</f>
        <v>5.1882845188284676E-3</v>
      </c>
      <c r="L443" s="72">
        <f t="shared" si="63"/>
        <v>0.15871382636655951</v>
      </c>
    </row>
    <row r="444" spans="1:12" ht="15.75" hidden="1" thickBot="1" x14ac:dyDescent="0.3">
      <c r="A444">
        <v>3</v>
      </c>
      <c r="B444" s="27">
        <v>45916</v>
      </c>
      <c r="C444" s="95">
        <v>456221.75000000006</v>
      </c>
      <c r="D444" s="210">
        <v>0</v>
      </c>
      <c r="E444" s="209">
        <f t="shared" si="60"/>
        <v>456221.75000000006</v>
      </c>
      <c r="F444" s="28">
        <v>39157</v>
      </c>
      <c r="G444" s="28">
        <f t="shared" si="61"/>
        <v>11.651090481906174</v>
      </c>
      <c r="H444" s="65">
        <f t="shared" si="64"/>
        <v>3.3010814463068083E-3</v>
      </c>
      <c r="I444" s="72">
        <f t="shared" si="62"/>
        <v>9.835624597610737E-2</v>
      </c>
      <c r="J444" s="207">
        <v>180.01</v>
      </c>
      <c r="K444" s="65">
        <f t="shared" si="65"/>
        <v>-9.4350094350104108E-4</v>
      </c>
      <c r="L444" s="72">
        <f t="shared" si="63"/>
        <v>0.15762057877813507</v>
      </c>
    </row>
    <row r="445" spans="1:12" ht="15.75" hidden="1" thickBot="1" x14ac:dyDescent="0.3">
      <c r="A445">
        <v>3</v>
      </c>
      <c r="B445" s="27">
        <v>45917</v>
      </c>
      <c r="C445" s="95">
        <v>454523.34000000008</v>
      </c>
      <c r="D445" s="210">
        <v>0</v>
      </c>
      <c r="E445" s="209">
        <f t="shared" si="60"/>
        <v>454523.34000000008</v>
      </c>
      <c r="F445" s="28">
        <v>39157</v>
      </c>
      <c r="G445" s="28">
        <f t="shared" si="61"/>
        <v>11.607716117169346</v>
      </c>
      <c r="H445" s="65">
        <f t="shared" si="64"/>
        <v>-3.7227729716962088E-3</v>
      </c>
      <c r="I445" s="72">
        <f t="shared" si="62"/>
        <v>9.4267315030293952E-2</v>
      </c>
      <c r="J445" s="207">
        <v>179.56</v>
      </c>
      <c r="K445" s="65">
        <f t="shared" si="65"/>
        <v>-2.4998611188267184E-3</v>
      </c>
      <c r="L445" s="72">
        <f t="shared" si="63"/>
        <v>0.15472668810289392</v>
      </c>
    </row>
    <row r="446" spans="1:12" ht="15.75" hidden="1" thickBot="1" x14ac:dyDescent="0.3">
      <c r="A446">
        <v>3</v>
      </c>
      <c r="B446" s="27">
        <v>45918</v>
      </c>
      <c r="C446" s="95">
        <v>460109.09</v>
      </c>
      <c r="D446" s="210">
        <v>0</v>
      </c>
      <c r="E446" s="209">
        <f t="shared" si="60"/>
        <v>460109.09</v>
      </c>
      <c r="F446" s="28">
        <v>39157</v>
      </c>
      <c r="G446" s="28">
        <f t="shared" si="61"/>
        <v>11.750366218045306</v>
      </c>
      <c r="H446" s="65">
        <f t="shared" si="64"/>
        <v>1.2289247896488664E-2</v>
      </c>
      <c r="I446" s="72">
        <f t="shared" si="62"/>
        <v>0.1077150373297262</v>
      </c>
      <c r="J446" s="207">
        <v>180.5</v>
      </c>
      <c r="K446" s="65">
        <f t="shared" si="65"/>
        <v>5.2350189351748622E-3</v>
      </c>
      <c r="L446" s="72">
        <f t="shared" si="63"/>
        <v>0.16077170418006426</v>
      </c>
    </row>
    <row r="447" spans="1:12" ht="15.75" hidden="1" thickBot="1" x14ac:dyDescent="0.3">
      <c r="A447">
        <v>3</v>
      </c>
      <c r="B447" s="27">
        <v>45919</v>
      </c>
      <c r="C447" s="95">
        <v>462187.75000000006</v>
      </c>
      <c r="D447" s="210">
        <v>0</v>
      </c>
      <c r="E447" s="209">
        <f t="shared" si="60"/>
        <v>462187.75000000006</v>
      </c>
      <c r="F447" s="28">
        <v>39157</v>
      </c>
      <c r="G447" s="28">
        <f t="shared" si="61"/>
        <v>11.803451490155018</v>
      </c>
      <c r="H447" s="65">
        <f t="shared" si="64"/>
        <v>4.5177546916101985E-3</v>
      </c>
      <c r="I447" s="72">
        <f t="shared" si="62"/>
        <v>0.1127194221365897</v>
      </c>
      <c r="J447" s="207">
        <v>181.04</v>
      </c>
      <c r="K447" s="65">
        <f t="shared" si="65"/>
        <v>2.9916897506925277E-3</v>
      </c>
      <c r="L447" s="72">
        <f t="shared" si="63"/>
        <v>0.16424437299035355</v>
      </c>
    </row>
    <row r="448" spans="1:12" ht="15.75" hidden="1" thickBot="1" x14ac:dyDescent="0.3">
      <c r="A448">
        <v>3</v>
      </c>
      <c r="B448" s="27">
        <v>45920</v>
      </c>
      <c r="C448" s="95">
        <v>462187.75000000006</v>
      </c>
      <c r="D448" s="210">
        <v>0</v>
      </c>
      <c r="E448" s="209">
        <f t="shared" si="60"/>
        <v>462187.75000000006</v>
      </c>
      <c r="F448" s="28">
        <v>39157</v>
      </c>
      <c r="G448" s="28">
        <f t="shared" si="61"/>
        <v>11.803451490155018</v>
      </c>
      <c r="H448" s="65">
        <f t="shared" si="64"/>
        <v>0</v>
      </c>
      <c r="I448" s="72">
        <f t="shared" si="62"/>
        <v>0.1127194221365897</v>
      </c>
      <c r="J448" s="207">
        <v>181.04</v>
      </c>
      <c r="K448" s="65">
        <f t="shared" si="65"/>
        <v>0</v>
      </c>
      <c r="L448" s="72">
        <f t="shared" si="63"/>
        <v>0.16424437299035355</v>
      </c>
    </row>
    <row r="449" spans="1:12" ht="15.75" hidden="1" thickBot="1" x14ac:dyDescent="0.3">
      <c r="A449">
        <v>3</v>
      </c>
      <c r="B449" s="27">
        <v>45921</v>
      </c>
      <c r="C449" s="95">
        <v>462187.75000000006</v>
      </c>
      <c r="D449" s="210">
        <v>0</v>
      </c>
      <c r="E449" s="209">
        <f t="shared" si="60"/>
        <v>462187.75000000006</v>
      </c>
      <c r="F449" s="28">
        <v>39157</v>
      </c>
      <c r="G449" s="28">
        <f t="shared" si="61"/>
        <v>11.803451490155018</v>
      </c>
      <c r="H449" s="65">
        <f t="shared" si="64"/>
        <v>0</v>
      </c>
      <c r="I449" s="72">
        <f t="shared" si="62"/>
        <v>0.1127194221365897</v>
      </c>
      <c r="J449" s="207">
        <v>181.04</v>
      </c>
      <c r="K449" s="65">
        <f t="shared" si="65"/>
        <v>0</v>
      </c>
      <c r="L449" s="72">
        <f t="shared" si="63"/>
        <v>0.16424437299035355</v>
      </c>
    </row>
    <row r="450" spans="1:12" ht="15.75" hidden="1" thickBot="1" x14ac:dyDescent="0.3">
      <c r="A450">
        <v>3</v>
      </c>
      <c r="B450" s="27">
        <v>45922</v>
      </c>
      <c r="C450" s="95">
        <v>461874.36000000004</v>
      </c>
      <c r="D450" s="210">
        <v>0</v>
      </c>
      <c r="E450" s="209">
        <f t="shared" si="60"/>
        <v>461874.36000000004</v>
      </c>
      <c r="F450" s="28">
        <v>39157</v>
      </c>
      <c r="G450" s="28">
        <f t="shared" si="61"/>
        <v>11.795448068033814</v>
      </c>
      <c r="H450" s="65">
        <f t="shared" si="64"/>
        <v>-6.7805778063134703E-4</v>
      </c>
      <c r="I450" s="72">
        <f t="shared" si="62"/>
        <v>0.11196493407475039</v>
      </c>
      <c r="J450" s="207">
        <v>181.71</v>
      </c>
      <c r="K450" s="65">
        <f t="shared" si="65"/>
        <v>3.7008395934601257E-3</v>
      </c>
      <c r="L450" s="72">
        <f t="shared" si="63"/>
        <v>0.16855305466237946</v>
      </c>
    </row>
    <row r="451" spans="1:12" ht="15.75" hidden="1" thickBot="1" x14ac:dyDescent="0.3">
      <c r="A451">
        <v>3</v>
      </c>
      <c r="B451" s="27">
        <v>45923</v>
      </c>
      <c r="C451" s="95">
        <v>460282.93000000017</v>
      </c>
      <c r="D451" s="210">
        <v>0</v>
      </c>
      <c r="E451" s="209">
        <f t="shared" si="60"/>
        <v>460282.93000000017</v>
      </c>
      <c r="F451" s="28">
        <v>39157</v>
      </c>
      <c r="G451" s="28">
        <f t="shared" si="61"/>
        <v>11.754805781852546</v>
      </c>
      <c r="H451" s="65">
        <f t="shared" si="64"/>
        <v>-3.4455907013324349E-3</v>
      </c>
      <c r="I451" s="72">
        <f t="shared" si="62"/>
        <v>0.10813355803769453</v>
      </c>
      <c r="J451" s="207">
        <v>180.97</v>
      </c>
      <c r="K451" s="65">
        <f t="shared" si="65"/>
        <v>-4.0724230917396076E-3</v>
      </c>
      <c r="L451" s="72">
        <f t="shared" si="63"/>
        <v>0.16379421221864954</v>
      </c>
    </row>
    <row r="452" spans="1:12" ht="15.75" hidden="1" thickBot="1" x14ac:dyDescent="0.3">
      <c r="A452">
        <v>3</v>
      </c>
      <c r="B452" s="27">
        <v>45924</v>
      </c>
      <c r="C452" s="95">
        <v>457038.28000000009</v>
      </c>
      <c r="D452" s="210">
        <v>0</v>
      </c>
      <c r="E452" s="209">
        <f t="shared" si="60"/>
        <v>457038.28000000009</v>
      </c>
      <c r="F452" s="28">
        <v>39157</v>
      </c>
      <c r="G452" s="28">
        <f t="shared" si="61"/>
        <v>11.671943203003297</v>
      </c>
      <c r="H452" s="65">
        <f t="shared" si="64"/>
        <v>-7.0492512072956037E-3</v>
      </c>
      <c r="I452" s="72">
        <f t="shared" si="62"/>
        <v>0.1003220462158525</v>
      </c>
      <c r="J452" s="207">
        <v>180.16</v>
      </c>
      <c r="K452" s="65">
        <f t="shared" si="65"/>
        <v>-4.4758799801072335E-3</v>
      </c>
      <c r="L452" s="72">
        <f t="shared" si="63"/>
        <v>0.15858520900321538</v>
      </c>
    </row>
    <row r="453" spans="1:12" ht="15.75" hidden="1" thickBot="1" x14ac:dyDescent="0.3">
      <c r="A453">
        <v>3</v>
      </c>
      <c r="B453" s="27">
        <v>45925</v>
      </c>
      <c r="C453" s="95">
        <v>456421.44000000012</v>
      </c>
      <c r="D453" s="210">
        <v>0</v>
      </c>
      <c r="E453" s="209">
        <f t="shared" si="60"/>
        <v>456421.44000000012</v>
      </c>
      <c r="F453" s="28">
        <v>39157</v>
      </c>
      <c r="G453" s="28">
        <f t="shared" si="61"/>
        <v>11.656190208647244</v>
      </c>
      <c r="H453" s="65">
        <f t="shared" si="64"/>
        <v>-1.3496462484497984E-3</v>
      </c>
      <c r="I453" s="72">
        <f t="shared" si="62"/>
        <v>9.8837000694090626E-2</v>
      </c>
      <c r="J453" s="207">
        <v>179.34</v>
      </c>
      <c r="K453" s="65">
        <f t="shared" si="65"/>
        <v>-4.5515097690941309E-3</v>
      </c>
      <c r="L453" s="72">
        <f t="shared" si="63"/>
        <v>0.15331189710610937</v>
      </c>
    </row>
    <row r="454" spans="1:12" ht="15.75" hidden="1" thickBot="1" x14ac:dyDescent="0.3">
      <c r="A454">
        <v>3</v>
      </c>
      <c r="B454" s="27">
        <v>45926</v>
      </c>
      <c r="C454" s="95">
        <v>458370.33000000007</v>
      </c>
      <c r="D454" s="210">
        <v>0</v>
      </c>
      <c r="E454" s="209">
        <f t="shared" si="60"/>
        <v>458370.33000000007</v>
      </c>
      <c r="F454" s="28">
        <v>39157</v>
      </c>
      <c r="G454" s="28">
        <f t="shared" si="61"/>
        <v>11.705961386214472</v>
      </c>
      <c r="H454" s="65">
        <f t="shared" si="64"/>
        <v>4.269935259833435E-3</v>
      </c>
      <c r="I454" s="72">
        <f t="shared" si="62"/>
        <v>0.10352896354816399</v>
      </c>
      <c r="J454" s="207">
        <v>180.3</v>
      </c>
      <c r="K454" s="65">
        <f t="shared" si="65"/>
        <v>5.352960856473743E-3</v>
      </c>
      <c r="L454" s="72">
        <f t="shared" si="63"/>
        <v>0.15948553054662384</v>
      </c>
    </row>
    <row r="455" spans="1:12" ht="15.75" hidden="1" thickBot="1" x14ac:dyDescent="0.3">
      <c r="A455">
        <v>3</v>
      </c>
      <c r="B455" s="27">
        <v>45927</v>
      </c>
      <c r="C455" s="95">
        <v>458370.33000000007</v>
      </c>
      <c r="D455" s="210">
        <v>0</v>
      </c>
      <c r="E455" s="209">
        <f t="shared" si="60"/>
        <v>458370.33000000007</v>
      </c>
      <c r="F455" s="28">
        <v>39157</v>
      </c>
      <c r="G455" s="28">
        <f t="shared" si="61"/>
        <v>11.705961386214472</v>
      </c>
      <c r="H455" s="65">
        <f t="shared" si="64"/>
        <v>0</v>
      </c>
      <c r="I455" s="72">
        <f t="shared" si="62"/>
        <v>0.10352896354816399</v>
      </c>
      <c r="J455" s="207">
        <v>180.3</v>
      </c>
      <c r="K455" s="65">
        <f t="shared" si="65"/>
        <v>0</v>
      </c>
      <c r="L455" s="72">
        <f t="shared" si="63"/>
        <v>0.15948553054662384</v>
      </c>
    </row>
    <row r="456" spans="1:12" ht="15.75" hidden="1" thickBot="1" x14ac:dyDescent="0.3">
      <c r="A456">
        <v>3</v>
      </c>
      <c r="B456" s="27">
        <v>45928</v>
      </c>
      <c r="C456" s="95">
        <v>458370.33000000007</v>
      </c>
      <c r="D456" s="210">
        <v>0</v>
      </c>
      <c r="E456" s="209">
        <f t="shared" si="60"/>
        <v>458370.33000000007</v>
      </c>
      <c r="F456" s="28">
        <v>39157</v>
      </c>
      <c r="G456" s="28">
        <f t="shared" si="61"/>
        <v>11.705961386214472</v>
      </c>
      <c r="H456" s="65">
        <f t="shared" si="64"/>
        <v>0</v>
      </c>
      <c r="I456" s="72">
        <f t="shared" si="62"/>
        <v>0.10352896354816399</v>
      </c>
      <c r="J456" s="207">
        <v>180.3</v>
      </c>
      <c r="K456" s="65">
        <f t="shared" si="65"/>
        <v>0</v>
      </c>
      <c r="L456" s="72">
        <f t="shared" si="63"/>
        <v>0.15948553054662384</v>
      </c>
    </row>
    <row r="457" spans="1:12" ht="15.75" hidden="1" thickBot="1" x14ac:dyDescent="0.3">
      <c r="A457">
        <v>3</v>
      </c>
      <c r="B457" s="27">
        <v>45929</v>
      </c>
      <c r="C457" s="95">
        <v>460172.53000000014</v>
      </c>
      <c r="D457" s="210">
        <v>0</v>
      </c>
      <c r="E457" s="209">
        <f t="shared" si="60"/>
        <v>460172.53000000014</v>
      </c>
      <c r="F457" s="28">
        <v>39157</v>
      </c>
      <c r="G457" s="28">
        <f t="shared" si="61"/>
        <v>11.751986362591621</v>
      </c>
      <c r="H457" s="65">
        <f t="shared" si="64"/>
        <v>3.9317553559803375E-3</v>
      </c>
      <c r="I457" s="72">
        <f t="shared" si="62"/>
        <v>0.10786776946107413</v>
      </c>
      <c r="J457" s="207">
        <v>180.93</v>
      </c>
      <c r="K457" s="65">
        <f t="shared" si="65"/>
        <v>3.4941763727120989E-3</v>
      </c>
      <c r="L457" s="72">
        <f t="shared" si="63"/>
        <v>0.1635369774919615</v>
      </c>
    </row>
    <row r="458" spans="1:12" ht="15.75" hidden="1" thickBot="1" x14ac:dyDescent="0.3">
      <c r="A458">
        <v>3</v>
      </c>
      <c r="B458" s="27">
        <v>45930</v>
      </c>
      <c r="C458" s="95">
        <v>460860.62</v>
      </c>
      <c r="D458" s="210">
        <v>0</v>
      </c>
      <c r="E458" s="209">
        <f t="shared" si="60"/>
        <v>460860.62</v>
      </c>
      <c r="F458" s="28">
        <v>39157</v>
      </c>
      <c r="G458" s="28">
        <f t="shared" si="61"/>
        <v>11.769558954976121</v>
      </c>
      <c r="H458" s="65">
        <f t="shared" si="64"/>
        <v>1.4952869959443671E-3</v>
      </c>
      <c r="I458" s="72">
        <f t="shared" si="62"/>
        <v>0.10952434972997516</v>
      </c>
      <c r="J458" s="207">
        <v>181.56</v>
      </c>
      <c r="K458" s="65">
        <f t="shared" si="65"/>
        <v>3.482009616978976E-3</v>
      </c>
      <c r="L458" s="72">
        <f t="shared" si="63"/>
        <v>0.16758842443729915</v>
      </c>
    </row>
    <row r="459" spans="1:12" ht="15.75" hidden="1" thickBot="1" x14ac:dyDescent="0.3">
      <c r="A459">
        <v>4</v>
      </c>
      <c r="B459" s="27">
        <v>45931</v>
      </c>
      <c r="C459" s="95">
        <v>461590.43</v>
      </c>
      <c r="D459" s="210">
        <v>0</v>
      </c>
      <c r="E459" s="209">
        <f t="shared" si="60"/>
        <v>461590.43</v>
      </c>
      <c r="F459" s="28">
        <v>39157</v>
      </c>
      <c r="G459" s="28">
        <f t="shared" si="61"/>
        <v>11.788197001813213</v>
      </c>
      <c r="H459" s="65">
        <f t="shared" si="64"/>
        <v>1.583580736405743E-3</v>
      </c>
      <c r="I459" s="72">
        <f t="shared" si="62"/>
        <v>0.1112813711167806</v>
      </c>
      <c r="J459" s="207">
        <v>182.36</v>
      </c>
      <c r="K459" s="65">
        <f t="shared" si="65"/>
        <v>4.4062568847764716E-3</v>
      </c>
      <c r="L459" s="72">
        <f t="shared" si="63"/>
        <v>0.17273311897106125</v>
      </c>
    </row>
    <row r="460" spans="1:12" ht="15.75" hidden="1" thickBot="1" x14ac:dyDescent="0.3">
      <c r="A460">
        <v>4</v>
      </c>
      <c r="B460" s="27">
        <v>45932</v>
      </c>
      <c r="C460" s="95">
        <v>464120.99000000005</v>
      </c>
      <c r="D460" s="210">
        <v>0</v>
      </c>
      <c r="E460" s="209">
        <f t="shared" si="60"/>
        <v>464120.99000000005</v>
      </c>
      <c r="F460" s="28">
        <v>39157</v>
      </c>
      <c r="G460" s="28">
        <f t="shared" si="61"/>
        <v>11.852822994611437</v>
      </c>
      <c r="H460" s="65">
        <f t="shared" si="64"/>
        <v>5.4822627063564333E-3</v>
      </c>
      <c r="I460" s="72">
        <f t="shared" si="62"/>
        <v>0.11737370753392296</v>
      </c>
      <c r="J460" s="207">
        <v>182.64</v>
      </c>
      <c r="K460" s="65">
        <f t="shared" si="65"/>
        <v>1.5354244351830637E-3</v>
      </c>
      <c r="L460" s="72">
        <f t="shared" si="63"/>
        <v>0.17453376205787774</v>
      </c>
    </row>
    <row r="461" spans="1:12" ht="15.75" hidden="1" thickBot="1" x14ac:dyDescent="0.3">
      <c r="A461">
        <v>4</v>
      </c>
      <c r="B461" s="27">
        <v>45933</v>
      </c>
      <c r="C461" s="95">
        <v>462371.49000000005</v>
      </c>
      <c r="D461" s="210">
        <v>0</v>
      </c>
      <c r="E461" s="209">
        <f t="shared" si="60"/>
        <v>462371.49000000005</v>
      </c>
      <c r="F461" s="28">
        <v>39157</v>
      </c>
      <c r="G461" s="28">
        <f t="shared" si="61"/>
        <v>11.808143882319893</v>
      </c>
      <c r="H461" s="65">
        <f t="shared" si="64"/>
        <v>-3.7694912268457781E-3</v>
      </c>
      <c r="I461" s="72">
        <f t="shared" si="62"/>
        <v>0.11316177714626563</v>
      </c>
      <c r="J461" s="207">
        <v>183.01</v>
      </c>
      <c r="K461" s="65">
        <f t="shared" si="65"/>
        <v>2.0258431887867356E-3</v>
      </c>
      <c r="L461" s="72">
        <f t="shared" si="63"/>
        <v>0.17691318327974281</v>
      </c>
    </row>
    <row r="462" spans="1:12" ht="15.75" hidden="1" thickBot="1" x14ac:dyDescent="0.3">
      <c r="A462">
        <v>4</v>
      </c>
      <c r="B462" s="27">
        <v>45934</v>
      </c>
      <c r="C462" s="95">
        <v>462371.49000000005</v>
      </c>
      <c r="D462" s="210">
        <v>0</v>
      </c>
      <c r="E462" s="209">
        <f t="shared" si="60"/>
        <v>462371.49000000005</v>
      </c>
      <c r="F462" s="28">
        <v>39157</v>
      </c>
      <c r="G462" s="28">
        <f t="shared" si="61"/>
        <v>11.808143882319893</v>
      </c>
      <c r="H462" s="65">
        <f t="shared" si="64"/>
        <v>0</v>
      </c>
      <c r="I462" s="72">
        <f t="shared" si="62"/>
        <v>0.11316177714626563</v>
      </c>
      <c r="J462" s="207">
        <v>183.01</v>
      </c>
      <c r="K462" s="65">
        <f t="shared" si="65"/>
        <v>0</v>
      </c>
      <c r="L462" s="72">
        <f t="shared" si="63"/>
        <v>0.17691318327974281</v>
      </c>
    </row>
    <row r="463" spans="1:12" ht="15.75" hidden="1" thickBot="1" x14ac:dyDescent="0.3">
      <c r="A463">
        <v>4</v>
      </c>
      <c r="B463" s="27">
        <v>45935</v>
      </c>
      <c r="C463" s="95">
        <v>462371.49000000005</v>
      </c>
      <c r="D463" s="210">
        <v>0</v>
      </c>
      <c r="E463" s="209">
        <f t="shared" si="60"/>
        <v>462371.49000000005</v>
      </c>
      <c r="F463" s="28">
        <v>39157</v>
      </c>
      <c r="G463" s="28">
        <f t="shared" si="61"/>
        <v>11.808143882319893</v>
      </c>
      <c r="H463" s="65">
        <f t="shared" si="64"/>
        <v>0</v>
      </c>
      <c r="I463" s="72">
        <f t="shared" si="62"/>
        <v>0.11316177714626563</v>
      </c>
      <c r="J463" s="207">
        <v>183.01</v>
      </c>
      <c r="K463" s="65">
        <f t="shared" si="65"/>
        <v>0</v>
      </c>
      <c r="L463" s="72">
        <f t="shared" si="63"/>
        <v>0.17691318327974281</v>
      </c>
    </row>
    <row r="464" spans="1:12" ht="15.75" hidden="1" thickBot="1" x14ac:dyDescent="0.3">
      <c r="A464">
        <v>4</v>
      </c>
      <c r="B464" s="27">
        <v>45936</v>
      </c>
      <c r="C464" s="95">
        <v>467133.05999999994</v>
      </c>
      <c r="D464" s="210">
        <v>0</v>
      </c>
      <c r="E464" s="209">
        <f t="shared" si="60"/>
        <v>467133.05999999994</v>
      </c>
      <c r="F464" s="28">
        <v>39157</v>
      </c>
      <c r="G464" s="28">
        <f t="shared" si="61"/>
        <v>11.929745894731465</v>
      </c>
      <c r="H464" s="65">
        <f t="shared" si="64"/>
        <v>1.0298147924302059E-2</v>
      </c>
      <c r="I464" s="72">
        <f t="shared" si="62"/>
        <v>0.12462528179099674</v>
      </c>
      <c r="J464" s="207">
        <v>183.61</v>
      </c>
      <c r="K464" s="65">
        <f t="shared" si="65"/>
        <v>3.2785093710727686E-3</v>
      </c>
      <c r="L464" s="72">
        <f t="shared" si="63"/>
        <v>0.1807717041800645</v>
      </c>
    </row>
    <row r="465" spans="1:12" ht="15.75" hidden="1" thickBot="1" x14ac:dyDescent="0.3">
      <c r="A465">
        <v>4</v>
      </c>
      <c r="B465" s="27">
        <v>45937</v>
      </c>
      <c r="C465" s="95">
        <v>465785.87000000005</v>
      </c>
      <c r="D465" s="210">
        <v>0</v>
      </c>
      <c r="E465" s="209">
        <f t="shared" si="60"/>
        <v>465785.87000000005</v>
      </c>
      <c r="F465" s="28">
        <v>39157</v>
      </c>
      <c r="G465" s="28">
        <f t="shared" si="61"/>
        <v>11.895341062900632</v>
      </c>
      <c r="H465" s="65">
        <f t="shared" si="64"/>
        <v>-2.8839534500082475E-3</v>
      </c>
      <c r="I465" s="72">
        <f t="shared" si="62"/>
        <v>0.12138191482960914</v>
      </c>
      <c r="J465" s="207">
        <v>182.62</v>
      </c>
      <c r="K465" s="65">
        <f t="shared" si="65"/>
        <v>-5.3918631882795554E-3</v>
      </c>
      <c r="L465" s="72">
        <f t="shared" si="63"/>
        <v>0.17440514469453383</v>
      </c>
    </row>
    <row r="466" spans="1:12" ht="15.75" hidden="1" thickBot="1" x14ac:dyDescent="0.3">
      <c r="A466">
        <v>4</v>
      </c>
      <c r="B466" s="27">
        <v>45938</v>
      </c>
      <c r="C466" s="95">
        <v>469430.97000000009</v>
      </c>
      <c r="D466" s="210">
        <v>0</v>
      </c>
      <c r="E466" s="209">
        <f t="shared" si="60"/>
        <v>469430.97000000009</v>
      </c>
      <c r="F466" s="28">
        <v>39157</v>
      </c>
      <c r="G466" s="28">
        <f t="shared" si="61"/>
        <v>11.988430421125216</v>
      </c>
      <c r="H466" s="65">
        <f t="shared" si="64"/>
        <v>7.8256989633456175E-3</v>
      </c>
      <c r="I466" s="72">
        <f t="shared" si="62"/>
        <v>0.13015751211800564</v>
      </c>
      <c r="J466" s="207">
        <v>183.52</v>
      </c>
      <c r="K466" s="65">
        <f t="shared" si="65"/>
        <v>4.9282663454166542E-3</v>
      </c>
      <c r="L466" s="72">
        <f t="shared" si="63"/>
        <v>0.18019292604501613</v>
      </c>
    </row>
    <row r="467" spans="1:12" ht="15.75" hidden="1" thickBot="1" x14ac:dyDescent="0.3">
      <c r="A467">
        <v>4</v>
      </c>
      <c r="B467" s="27">
        <v>45939</v>
      </c>
      <c r="C467" s="95">
        <v>465544.5500000001</v>
      </c>
      <c r="D467" s="210">
        <v>0</v>
      </c>
      <c r="E467" s="209">
        <f t="shared" si="60"/>
        <v>465544.5500000001</v>
      </c>
      <c r="F467" s="28">
        <v>39157</v>
      </c>
      <c r="G467" s="28">
        <f t="shared" si="61"/>
        <v>11.889178180146592</v>
      </c>
      <c r="H467" s="65">
        <f t="shared" si="64"/>
        <v>-8.2790021288965399E-3</v>
      </c>
      <c r="I467" s="72">
        <f t="shared" si="62"/>
        <v>0.12080093566919237</v>
      </c>
      <c r="J467" s="207">
        <v>182.67</v>
      </c>
      <c r="K467" s="65">
        <f t="shared" si="65"/>
        <v>-4.6316477768092446E-3</v>
      </c>
      <c r="L467" s="72">
        <f t="shared" si="63"/>
        <v>0.17472668810289371</v>
      </c>
    </row>
    <row r="468" spans="1:12" ht="15.75" hidden="1" thickBot="1" x14ac:dyDescent="0.3">
      <c r="A468">
        <v>4</v>
      </c>
      <c r="B468" s="27">
        <v>45940</v>
      </c>
      <c r="C468" s="95">
        <v>453374.51000000007</v>
      </c>
      <c r="D468" s="210">
        <v>0</v>
      </c>
      <c r="E468" s="209">
        <f t="shared" si="60"/>
        <v>453374.51000000007</v>
      </c>
      <c r="F468" s="28">
        <v>39157</v>
      </c>
      <c r="G468" s="28">
        <f t="shared" si="61"/>
        <v>11.578377046249715</v>
      </c>
      <c r="H468" s="65">
        <f t="shared" si="64"/>
        <v>-2.6141515350142197E-2</v>
      </c>
      <c r="I468" s="72">
        <f t="shared" si="62"/>
        <v>9.1501500804942459E-2</v>
      </c>
      <c r="J468" s="207">
        <v>178.2</v>
      </c>
      <c r="K468" s="65">
        <f t="shared" si="65"/>
        <v>-2.4470356380357994E-2</v>
      </c>
      <c r="L468" s="72">
        <f t="shared" si="63"/>
        <v>0.1459807073954984</v>
      </c>
    </row>
    <row r="469" spans="1:12" ht="15.75" hidden="1" thickBot="1" x14ac:dyDescent="0.3">
      <c r="A469">
        <v>4</v>
      </c>
      <c r="B469" s="27">
        <v>45941</v>
      </c>
      <c r="C469" s="95">
        <v>453374.51000000007</v>
      </c>
      <c r="D469" s="210">
        <v>0</v>
      </c>
      <c r="E469" s="209">
        <f t="shared" si="60"/>
        <v>453374.51000000007</v>
      </c>
      <c r="F469" s="28">
        <v>39157</v>
      </c>
      <c r="G469" s="28">
        <f t="shared" si="61"/>
        <v>11.578377046249715</v>
      </c>
      <c r="H469" s="65">
        <f t="shared" si="64"/>
        <v>0</v>
      </c>
      <c r="I469" s="72">
        <f t="shared" si="62"/>
        <v>9.1501500804942459E-2</v>
      </c>
      <c r="J469" s="207">
        <v>178.2</v>
      </c>
      <c r="K469" s="65">
        <f t="shared" si="65"/>
        <v>0</v>
      </c>
      <c r="L469" s="72">
        <f t="shared" si="63"/>
        <v>0.1459807073954984</v>
      </c>
    </row>
    <row r="470" spans="1:12" ht="15.75" hidden="1" thickBot="1" x14ac:dyDescent="0.3">
      <c r="A470">
        <v>4</v>
      </c>
      <c r="B470" s="27">
        <v>45942</v>
      </c>
      <c r="C470" s="95">
        <v>453374.51000000007</v>
      </c>
      <c r="D470" s="210">
        <v>0</v>
      </c>
      <c r="E470" s="209">
        <f t="shared" si="60"/>
        <v>453374.51000000007</v>
      </c>
      <c r="F470" s="28">
        <v>39157</v>
      </c>
      <c r="G470" s="28">
        <f t="shared" si="61"/>
        <v>11.578377046249715</v>
      </c>
      <c r="H470" s="65">
        <f t="shared" si="64"/>
        <v>0</v>
      </c>
      <c r="I470" s="72">
        <f t="shared" si="62"/>
        <v>9.1501500804942459E-2</v>
      </c>
      <c r="J470" s="207">
        <v>178.2</v>
      </c>
      <c r="K470" s="65">
        <f t="shared" si="65"/>
        <v>0</v>
      </c>
      <c r="L470" s="72">
        <f t="shared" si="63"/>
        <v>0.1459807073954984</v>
      </c>
    </row>
    <row r="471" spans="1:12" ht="15.75" hidden="1" thickBot="1" x14ac:dyDescent="0.3">
      <c r="A471">
        <v>4</v>
      </c>
      <c r="B471" s="27">
        <v>45943</v>
      </c>
      <c r="C471" s="95">
        <v>458960.50000000012</v>
      </c>
      <c r="D471" s="210">
        <v>0</v>
      </c>
      <c r="E471" s="209">
        <f t="shared" si="60"/>
        <v>458960.50000000012</v>
      </c>
      <c r="F471" s="28">
        <v>39157</v>
      </c>
      <c r="G471" s="28">
        <f t="shared" si="61"/>
        <v>11.721033276297982</v>
      </c>
      <c r="H471" s="65">
        <f t="shared" si="64"/>
        <v>1.2320917644884855E-2</v>
      </c>
      <c r="I471" s="72">
        <f t="shared" si="62"/>
        <v>0.10494980090562822</v>
      </c>
      <c r="J471" s="207">
        <v>180.65</v>
      </c>
      <c r="K471" s="65">
        <f t="shared" si="65"/>
        <v>1.3748597081930436E-2</v>
      </c>
      <c r="L471" s="72">
        <f t="shared" si="63"/>
        <v>0.16173633440514479</v>
      </c>
    </row>
    <row r="472" spans="1:12" ht="15.75" hidden="1" thickBot="1" x14ac:dyDescent="0.3">
      <c r="A472">
        <v>4</v>
      </c>
      <c r="B472" s="27">
        <v>45944</v>
      </c>
      <c r="C472" s="95">
        <v>459442.27</v>
      </c>
      <c r="D472" s="210">
        <v>0</v>
      </c>
      <c r="E472" s="209">
        <f t="shared" si="60"/>
        <v>459442.27</v>
      </c>
      <c r="F472" s="28">
        <v>39157</v>
      </c>
      <c r="G472" s="28">
        <f t="shared" si="61"/>
        <v>11.733336823556453</v>
      </c>
      <c r="H472" s="65">
        <f t="shared" si="64"/>
        <v>1.0496981766403568E-3</v>
      </c>
      <c r="I472" s="72">
        <f t="shared" si="62"/>
        <v>0.10610966469691796</v>
      </c>
      <c r="J472" s="207">
        <v>180.77</v>
      </c>
      <c r="K472" s="65">
        <f t="shared" si="65"/>
        <v>6.6426792139506752E-4</v>
      </c>
      <c r="L472" s="72">
        <f t="shared" si="63"/>
        <v>0.16250803858520912</v>
      </c>
    </row>
    <row r="473" spans="1:12" ht="15.75" hidden="1" thickBot="1" x14ac:dyDescent="0.3">
      <c r="A473">
        <v>4</v>
      </c>
      <c r="B473" s="27">
        <v>45945</v>
      </c>
      <c r="C473" s="95">
        <v>458936.17000000016</v>
      </c>
      <c r="D473" s="210">
        <v>0</v>
      </c>
      <c r="E473" s="209">
        <f t="shared" si="60"/>
        <v>458936.17000000016</v>
      </c>
      <c r="F473" s="28">
        <v>39157</v>
      </c>
      <c r="G473" s="28">
        <f t="shared" si="61"/>
        <v>11.720411931455427</v>
      </c>
      <c r="H473" s="65">
        <f t="shared" si="64"/>
        <v>-1.1015529763943599E-3</v>
      </c>
      <c r="I473" s="72">
        <f t="shared" si="62"/>
        <v>0.10489122630355263</v>
      </c>
      <c r="J473" s="207">
        <v>181.51</v>
      </c>
      <c r="K473" s="65">
        <f t="shared" si="65"/>
        <v>4.0935996017037457E-3</v>
      </c>
      <c r="L473" s="72">
        <f t="shared" si="63"/>
        <v>0.16726688102893883</v>
      </c>
    </row>
    <row r="474" spans="1:12" ht="15.75" hidden="1" thickBot="1" x14ac:dyDescent="0.3">
      <c r="A474">
        <v>4</v>
      </c>
      <c r="B474" s="27">
        <v>45946</v>
      </c>
      <c r="C474" s="95">
        <v>454930.38</v>
      </c>
      <c r="D474" s="210">
        <v>0</v>
      </c>
      <c r="E474" s="209">
        <f t="shared" si="60"/>
        <v>454930.38</v>
      </c>
      <c r="F474" s="28">
        <v>39157</v>
      </c>
      <c r="G474" s="28">
        <f t="shared" si="61"/>
        <v>11.618111193400924</v>
      </c>
      <c r="H474" s="65">
        <f t="shared" si="64"/>
        <v>-8.7284251315388195E-3</v>
      </c>
      <c r="I474" s="72">
        <f t="shared" si="62"/>
        <v>9.5247265956267979E-2</v>
      </c>
      <c r="J474" s="207">
        <v>180.88</v>
      </c>
      <c r="K474" s="65">
        <f t="shared" si="65"/>
        <v>-3.4708831469340007E-3</v>
      </c>
      <c r="L474" s="72">
        <f t="shared" si="63"/>
        <v>0.16321543408360117</v>
      </c>
    </row>
    <row r="475" spans="1:12" ht="15.75" hidden="1" thickBot="1" x14ac:dyDescent="0.3">
      <c r="A475">
        <v>4</v>
      </c>
      <c r="B475" s="27">
        <v>45947</v>
      </c>
      <c r="C475" s="95">
        <v>453968.35000000003</v>
      </c>
      <c r="D475" s="210">
        <v>0</v>
      </c>
      <c r="E475" s="209">
        <f t="shared" si="60"/>
        <v>453968.35000000003</v>
      </c>
      <c r="F475" s="28">
        <v>39157</v>
      </c>
      <c r="G475" s="28">
        <f t="shared" si="61"/>
        <v>11.593542661593075</v>
      </c>
      <c r="H475" s="65">
        <f t="shared" si="64"/>
        <v>-2.1146752168980099E-3</v>
      </c>
      <c r="I475" s="72">
        <f t="shared" si="62"/>
        <v>9.2931173706574999E-2</v>
      </c>
      <c r="J475" s="207">
        <v>181.64</v>
      </c>
      <c r="K475" s="65">
        <f t="shared" si="65"/>
        <v>4.2016806722688926E-3</v>
      </c>
      <c r="L475" s="72">
        <f t="shared" si="63"/>
        <v>0.16810289389067523</v>
      </c>
    </row>
    <row r="476" spans="1:12" ht="15.75" hidden="1" thickBot="1" x14ac:dyDescent="0.3">
      <c r="A476">
        <v>4</v>
      </c>
      <c r="B476" s="27">
        <v>45948</v>
      </c>
      <c r="C476" s="95">
        <v>453968.35000000003</v>
      </c>
      <c r="D476" s="210">
        <v>0</v>
      </c>
      <c r="E476" s="209">
        <f t="shared" si="60"/>
        <v>453968.35000000003</v>
      </c>
      <c r="F476" s="28">
        <v>39157</v>
      </c>
      <c r="G476" s="28">
        <f t="shared" si="61"/>
        <v>11.593542661593075</v>
      </c>
      <c r="H476" s="65">
        <f t="shared" si="64"/>
        <v>0</v>
      </c>
      <c r="I476" s="72">
        <f t="shared" si="62"/>
        <v>9.2931173706574999E-2</v>
      </c>
      <c r="J476" s="207">
        <v>181.64</v>
      </c>
      <c r="K476" s="65">
        <f t="shared" si="65"/>
        <v>0</v>
      </c>
      <c r="L476" s="72">
        <f t="shared" si="63"/>
        <v>0.16810289389067523</v>
      </c>
    </row>
    <row r="477" spans="1:12" ht="15.75" hidden="1" thickBot="1" x14ac:dyDescent="0.3">
      <c r="A477">
        <v>4</v>
      </c>
      <c r="B477" s="27">
        <v>45949</v>
      </c>
      <c r="C477" s="95">
        <v>453968.35000000003</v>
      </c>
      <c r="D477" s="210">
        <v>0</v>
      </c>
      <c r="E477" s="209">
        <f t="shared" si="60"/>
        <v>453968.35000000003</v>
      </c>
      <c r="F477" s="28">
        <v>39157</v>
      </c>
      <c r="G477" s="28">
        <f t="shared" si="61"/>
        <v>11.593542661593075</v>
      </c>
      <c r="H477" s="65">
        <f t="shared" si="64"/>
        <v>0</v>
      </c>
      <c r="I477" s="72">
        <f t="shared" si="62"/>
        <v>9.2931173706574999E-2</v>
      </c>
      <c r="J477" s="207">
        <v>181.64</v>
      </c>
      <c r="K477" s="65">
        <f t="shared" si="65"/>
        <v>0</v>
      </c>
      <c r="L477" s="72">
        <f t="shared" si="63"/>
        <v>0.16810289389067523</v>
      </c>
    </row>
    <row r="478" spans="1:12" ht="15.75" hidden="1" thickBot="1" x14ac:dyDescent="0.3">
      <c r="A478">
        <v>4</v>
      </c>
      <c r="B478" s="27">
        <v>45950</v>
      </c>
      <c r="C478" s="95">
        <v>458182.32000000007</v>
      </c>
      <c r="D478" s="210">
        <v>0</v>
      </c>
      <c r="E478" s="209">
        <f t="shared" si="60"/>
        <v>458182.32000000007</v>
      </c>
      <c r="F478" s="28">
        <v>39157</v>
      </c>
      <c r="G478" s="28">
        <f t="shared" si="61"/>
        <v>11.701159945858979</v>
      </c>
      <c r="H478" s="65">
        <f t="shared" si="64"/>
        <v>9.2825193650614146E-3</v>
      </c>
      <c r="I478" s="72">
        <f t="shared" si="62"/>
        <v>0.10307632849118575</v>
      </c>
      <c r="J478" s="207">
        <v>183.24</v>
      </c>
      <c r="K478" s="65">
        <f t="shared" si="65"/>
        <v>8.8086324598106724E-3</v>
      </c>
      <c r="L478" s="72">
        <f t="shared" si="63"/>
        <v>0.17839228295819942</v>
      </c>
    </row>
    <row r="479" spans="1:12" ht="15.75" hidden="1" thickBot="1" x14ac:dyDescent="0.3">
      <c r="A479">
        <v>4</v>
      </c>
      <c r="B479" s="27">
        <v>45951</v>
      </c>
      <c r="C479" s="95">
        <v>457719.51</v>
      </c>
      <c r="D479" s="210">
        <v>0</v>
      </c>
      <c r="E479" s="209">
        <f t="shared" si="60"/>
        <v>457719.51</v>
      </c>
      <c r="F479" s="28">
        <v>39157</v>
      </c>
      <c r="G479" s="28">
        <f t="shared" si="61"/>
        <v>11.689340603212708</v>
      </c>
      <c r="H479" s="65">
        <f t="shared" si="64"/>
        <v>-1.0101000841762353E-3</v>
      </c>
      <c r="I479" s="72">
        <f t="shared" si="62"/>
        <v>0.10196211099892394</v>
      </c>
      <c r="J479" s="207">
        <v>182.86</v>
      </c>
      <c r="K479" s="65">
        <f t="shared" si="65"/>
        <v>-2.0737830168084948E-3</v>
      </c>
      <c r="L479" s="72">
        <f t="shared" si="63"/>
        <v>0.1759485530546625</v>
      </c>
    </row>
    <row r="480" spans="1:12" ht="15.75" hidden="1" thickBot="1" x14ac:dyDescent="0.3">
      <c r="A480">
        <v>4</v>
      </c>
      <c r="B480" s="27">
        <v>45952</v>
      </c>
      <c r="C480" s="95">
        <v>454467.65</v>
      </c>
      <c r="D480" s="210">
        <v>0</v>
      </c>
      <c r="E480" s="209">
        <f t="shared" si="60"/>
        <v>454467.65</v>
      </c>
      <c r="F480" s="28">
        <v>39157</v>
      </c>
      <c r="G480" s="28">
        <f t="shared" si="61"/>
        <v>11.60629389381209</v>
      </c>
      <c r="H480" s="65">
        <f t="shared" si="64"/>
        <v>-7.104481956646258E-3</v>
      </c>
      <c r="I480" s="72">
        <f t="shared" si="62"/>
        <v>9.4133241064424222E-2</v>
      </c>
      <c r="J480" s="207">
        <v>181.99</v>
      </c>
      <c r="K480" s="65">
        <f t="shared" si="65"/>
        <v>-4.7577381603413071E-3</v>
      </c>
      <c r="L480" s="72">
        <f t="shared" si="63"/>
        <v>0.17035369774919618</v>
      </c>
    </row>
    <row r="481" spans="1:12" ht="15.75" hidden="1" thickBot="1" x14ac:dyDescent="0.3">
      <c r="A481">
        <v>4</v>
      </c>
      <c r="B481" s="27">
        <v>45953</v>
      </c>
      <c r="C481" s="95">
        <v>456985.93000000005</v>
      </c>
      <c r="D481" s="210">
        <v>0</v>
      </c>
      <c r="E481" s="209">
        <f t="shared" si="60"/>
        <v>456985.93000000005</v>
      </c>
      <c r="F481" s="28">
        <v>39157</v>
      </c>
      <c r="G481" s="28">
        <f t="shared" si="61"/>
        <v>11.670606277293972</v>
      </c>
      <c r="H481" s="65">
        <f t="shared" si="64"/>
        <v>5.5411644811242944E-3</v>
      </c>
      <c r="I481" s="72">
        <f t="shared" si="62"/>
        <v>0.10019601331742778</v>
      </c>
      <c r="J481" s="207">
        <v>183.16</v>
      </c>
      <c r="K481" s="65">
        <f t="shared" si="65"/>
        <v>6.4289246661903832E-3</v>
      </c>
      <c r="L481" s="72">
        <f t="shared" si="63"/>
        <v>0.17787781350482312</v>
      </c>
    </row>
    <row r="482" spans="1:12" ht="15.75" hidden="1" thickBot="1" x14ac:dyDescent="0.3">
      <c r="A482">
        <v>4</v>
      </c>
      <c r="B482" s="27">
        <v>45954</v>
      </c>
      <c r="C482" s="95">
        <v>459930.66000000003</v>
      </c>
      <c r="D482" s="210">
        <v>0</v>
      </c>
      <c r="E482" s="209">
        <f t="shared" si="60"/>
        <v>459930.66000000003</v>
      </c>
      <c r="F482" s="28">
        <v>39157</v>
      </c>
      <c r="G482" s="28">
        <f t="shared" si="61"/>
        <v>11.745809433817708</v>
      </c>
      <c r="H482" s="65">
        <f t="shared" si="64"/>
        <v>6.4438088936347171E-3</v>
      </c>
      <c r="I482" s="72">
        <f t="shared" si="62"/>
        <v>0.10728546617278423</v>
      </c>
      <c r="J482" s="207">
        <v>184.29</v>
      </c>
      <c r="K482" s="65">
        <f t="shared" si="65"/>
        <v>6.1694693164446868E-3</v>
      </c>
      <c r="L482" s="72">
        <f t="shared" si="63"/>
        <v>0.18514469453376203</v>
      </c>
    </row>
    <row r="483" spans="1:12" ht="15.75" hidden="1" thickBot="1" x14ac:dyDescent="0.3">
      <c r="A483">
        <v>4</v>
      </c>
      <c r="B483" s="27">
        <v>45955</v>
      </c>
      <c r="C483" s="95">
        <v>459930.66000000003</v>
      </c>
      <c r="D483" s="210">
        <v>0</v>
      </c>
      <c r="E483" s="209">
        <f t="shared" si="60"/>
        <v>459930.66000000003</v>
      </c>
      <c r="F483" s="28">
        <v>39157</v>
      </c>
      <c r="G483" s="28">
        <f t="shared" si="61"/>
        <v>11.745809433817708</v>
      </c>
      <c r="H483" s="65">
        <f t="shared" si="64"/>
        <v>0</v>
      </c>
      <c r="I483" s="72">
        <f t="shared" si="62"/>
        <v>0.10728546617278423</v>
      </c>
      <c r="J483" s="207">
        <v>184.29</v>
      </c>
      <c r="K483" s="65">
        <f t="shared" si="65"/>
        <v>0</v>
      </c>
      <c r="L483" s="72">
        <f t="shared" si="63"/>
        <v>0.18514469453376203</v>
      </c>
    </row>
    <row r="484" spans="1:12" ht="15.75" hidden="1" thickBot="1" x14ac:dyDescent="0.3">
      <c r="A484">
        <v>4</v>
      </c>
      <c r="B484" s="27">
        <v>45956</v>
      </c>
      <c r="C484" s="95">
        <v>459930.66000000003</v>
      </c>
      <c r="D484" s="210">
        <v>0</v>
      </c>
      <c r="E484" s="209">
        <f t="shared" si="60"/>
        <v>459930.66000000003</v>
      </c>
      <c r="F484" s="28">
        <v>39157</v>
      </c>
      <c r="G484" s="28">
        <f t="shared" si="61"/>
        <v>11.745809433817708</v>
      </c>
      <c r="H484" s="65">
        <f t="shared" si="64"/>
        <v>0</v>
      </c>
      <c r="I484" s="72">
        <f t="shared" si="62"/>
        <v>0.10728546617278423</v>
      </c>
      <c r="J484" s="207">
        <v>184.29</v>
      </c>
      <c r="K484" s="65">
        <f t="shared" si="65"/>
        <v>0</v>
      </c>
      <c r="L484" s="72">
        <f t="shared" si="63"/>
        <v>0.18514469453376203</v>
      </c>
    </row>
    <row r="485" spans="1:12" ht="15.75" hidden="1" thickBot="1" x14ac:dyDescent="0.3">
      <c r="A485">
        <v>4</v>
      </c>
      <c r="B485" s="27">
        <v>45957</v>
      </c>
      <c r="C485" s="95">
        <v>464899.53</v>
      </c>
      <c r="D485" s="210">
        <v>0</v>
      </c>
      <c r="E485" s="209">
        <f t="shared" si="60"/>
        <v>464899.53</v>
      </c>
      <c r="F485" s="28">
        <v>39157</v>
      </c>
      <c r="G485" s="28">
        <f t="shared" si="61"/>
        <v>11.872705518808898</v>
      </c>
      <c r="H485" s="65">
        <f t="shared" si="64"/>
        <v>1.0803519817530693E-2</v>
      </c>
      <c r="I485" s="72">
        <f t="shared" si="62"/>
        <v>0.11924804665024569</v>
      </c>
      <c r="J485" s="207">
        <v>186.26</v>
      </c>
      <c r="K485" s="65">
        <f t="shared" si="65"/>
        <v>1.068967388355313E-2</v>
      </c>
      <c r="L485" s="72">
        <f t="shared" si="63"/>
        <v>0.19781350482315108</v>
      </c>
    </row>
    <row r="486" spans="1:12" ht="15.75" hidden="1" thickBot="1" x14ac:dyDescent="0.3">
      <c r="A486">
        <v>4</v>
      </c>
      <c r="B486" s="27">
        <v>45958</v>
      </c>
      <c r="C486" s="95">
        <v>464349.07</v>
      </c>
      <c r="D486" s="210">
        <v>0</v>
      </c>
      <c r="E486" s="209">
        <f t="shared" si="60"/>
        <v>464349.07</v>
      </c>
      <c r="F486" s="28">
        <v>39157</v>
      </c>
      <c r="G486" s="28">
        <f t="shared" si="61"/>
        <v>11.858647751359911</v>
      </c>
      <c r="H486" s="65">
        <f t="shared" si="64"/>
        <v>-1.1840407754337701E-3</v>
      </c>
      <c r="I486" s="72">
        <f t="shared" si="62"/>
        <v>0.11792281132518712</v>
      </c>
      <c r="J486" s="207">
        <v>186.64</v>
      </c>
      <c r="K486" s="65">
        <f t="shared" si="65"/>
        <v>2.0401589176419765E-3</v>
      </c>
      <c r="L486" s="72">
        <f t="shared" si="63"/>
        <v>0.20025723472668799</v>
      </c>
    </row>
    <row r="487" spans="1:12" ht="15.75" hidden="1" thickBot="1" x14ac:dyDescent="0.3">
      <c r="A487">
        <v>4</v>
      </c>
      <c r="B487" s="27">
        <v>45959</v>
      </c>
      <c r="C487" s="95">
        <v>457098.98</v>
      </c>
      <c r="D487" s="210">
        <v>0</v>
      </c>
      <c r="E487" s="209">
        <f t="shared" si="60"/>
        <v>457098.98</v>
      </c>
      <c r="F487" s="28">
        <v>39157</v>
      </c>
      <c r="G487" s="28">
        <f t="shared" si="61"/>
        <v>11.673493372832443</v>
      </c>
      <c r="H487" s="65">
        <f t="shared" si="64"/>
        <v>-1.5613447874462283E-2</v>
      </c>
      <c r="I487" s="72">
        <f t="shared" si="62"/>
        <v>0.10046818178288897</v>
      </c>
      <c r="J487" s="207">
        <v>186.21</v>
      </c>
      <c r="K487" s="65">
        <f t="shared" si="65"/>
        <v>-2.3039005572222937E-3</v>
      </c>
      <c r="L487" s="72">
        <f t="shared" si="63"/>
        <v>0.19749196141479097</v>
      </c>
    </row>
    <row r="488" spans="1:12" ht="15.75" hidden="1" thickBot="1" x14ac:dyDescent="0.3">
      <c r="A488">
        <v>4</v>
      </c>
      <c r="B488" s="27">
        <v>45960</v>
      </c>
      <c r="C488" s="95">
        <v>458043.73</v>
      </c>
      <c r="D488" s="210">
        <v>0</v>
      </c>
      <c r="E488" s="209">
        <f t="shared" si="60"/>
        <v>458043.73</v>
      </c>
      <c r="F488" s="28">
        <v>39157</v>
      </c>
      <c r="G488" s="28">
        <f t="shared" si="61"/>
        <v>11.697620604234237</v>
      </c>
      <c r="H488" s="65">
        <f t="shared" si="64"/>
        <v>2.0668390027911432E-3</v>
      </c>
      <c r="I488" s="72">
        <f t="shared" si="62"/>
        <v>0.10274267234232859</v>
      </c>
      <c r="J488" s="207">
        <v>184.65</v>
      </c>
      <c r="K488" s="65">
        <f t="shared" si="65"/>
        <v>-8.3776381504753195E-3</v>
      </c>
      <c r="L488" s="72">
        <f t="shared" si="63"/>
        <v>0.18745980707395504</v>
      </c>
    </row>
    <row r="489" spans="1:12" ht="15.75" hidden="1" thickBot="1" x14ac:dyDescent="0.3">
      <c r="A489">
        <v>4</v>
      </c>
      <c r="B489" s="27">
        <v>45961</v>
      </c>
      <c r="C489" s="95">
        <v>461077.13</v>
      </c>
      <c r="D489" s="210">
        <v>0</v>
      </c>
      <c r="E489" s="209">
        <f t="shared" si="60"/>
        <v>461077.13</v>
      </c>
      <c r="F489" s="28">
        <v>39157</v>
      </c>
      <c r="G489" s="28">
        <f t="shared" si="61"/>
        <v>11.775088234542993</v>
      </c>
      <c r="H489" s="65">
        <f t="shared" si="64"/>
        <v>6.6225117850646775E-3</v>
      </c>
      <c r="I489" s="72">
        <f t="shared" si="62"/>
        <v>0.11004559868580932</v>
      </c>
      <c r="J489" s="207">
        <v>185.03</v>
      </c>
      <c r="K489" s="65">
        <f t="shared" si="65"/>
        <v>2.0579474681829968E-3</v>
      </c>
      <c r="L489" s="72">
        <f t="shared" si="63"/>
        <v>0.18990353697749196</v>
      </c>
    </row>
    <row r="490" spans="1:12" ht="15.75" hidden="1" thickBot="1" x14ac:dyDescent="0.3">
      <c r="A490">
        <v>4</v>
      </c>
      <c r="B490" s="27">
        <v>45962</v>
      </c>
      <c r="C490" s="95">
        <v>461077.13</v>
      </c>
      <c r="D490" s="210">
        <v>0</v>
      </c>
      <c r="E490" s="209">
        <f t="shared" si="60"/>
        <v>461077.13</v>
      </c>
      <c r="F490" s="28">
        <v>39157</v>
      </c>
      <c r="G490" s="28">
        <f t="shared" si="61"/>
        <v>11.775088234542993</v>
      </c>
      <c r="H490" s="65">
        <f t="shared" si="64"/>
        <v>0</v>
      </c>
      <c r="I490" s="72">
        <f t="shared" si="62"/>
        <v>0.11004559868580932</v>
      </c>
      <c r="J490" s="207">
        <v>185.03</v>
      </c>
      <c r="K490" s="65">
        <f t="shared" si="65"/>
        <v>0</v>
      </c>
      <c r="L490" s="72">
        <f t="shared" si="63"/>
        <v>0.18990353697749196</v>
      </c>
    </row>
    <row r="491" spans="1:12" ht="15.75" hidden="1" thickBot="1" x14ac:dyDescent="0.3">
      <c r="A491">
        <v>4</v>
      </c>
      <c r="B491" s="27">
        <v>45963</v>
      </c>
      <c r="C491" s="95">
        <v>461077.13</v>
      </c>
      <c r="D491" s="210">
        <v>0</v>
      </c>
      <c r="E491" s="209">
        <f t="shared" si="60"/>
        <v>461077.13</v>
      </c>
      <c r="F491" s="28">
        <v>39157</v>
      </c>
      <c r="G491" s="28">
        <f t="shared" si="61"/>
        <v>11.775088234542993</v>
      </c>
      <c r="H491" s="65">
        <f t="shared" si="64"/>
        <v>0</v>
      </c>
      <c r="I491" s="72">
        <f t="shared" si="62"/>
        <v>0.11004559868580932</v>
      </c>
      <c r="J491" s="207">
        <v>185.03</v>
      </c>
      <c r="K491" s="65">
        <f t="shared" si="65"/>
        <v>0</v>
      </c>
      <c r="L491" s="72">
        <f t="shared" si="63"/>
        <v>0.18990353697749196</v>
      </c>
    </row>
    <row r="492" spans="1:12" ht="15.75" hidden="1" thickBot="1" x14ac:dyDescent="0.3">
      <c r="A492">
        <v>4</v>
      </c>
      <c r="B492" s="27">
        <v>45964</v>
      </c>
      <c r="C492" s="95">
        <v>462258.2900000001</v>
      </c>
      <c r="D492" s="210">
        <v>0</v>
      </c>
      <c r="E492" s="209">
        <f t="shared" si="60"/>
        <v>462258.2900000001</v>
      </c>
      <c r="F492" s="28">
        <v>39157</v>
      </c>
      <c r="G492" s="28">
        <f t="shared" si="61"/>
        <v>11.805252956048729</v>
      </c>
      <c r="H492" s="65">
        <f t="shared" si="64"/>
        <v>2.5617405920785874E-3</v>
      </c>
      <c r="I492" s="72">
        <f t="shared" si="62"/>
        <v>0.11288924755502094</v>
      </c>
      <c r="J492" s="207">
        <v>185.36</v>
      </c>
      <c r="K492" s="65">
        <f t="shared" si="65"/>
        <v>1.7834945684485071E-3</v>
      </c>
      <c r="L492" s="72">
        <f t="shared" si="63"/>
        <v>0.192025723472669</v>
      </c>
    </row>
    <row r="493" spans="1:12" ht="15.75" hidden="1" thickBot="1" x14ac:dyDescent="0.3">
      <c r="A493">
        <v>4</v>
      </c>
      <c r="B493" s="27">
        <v>45965</v>
      </c>
      <c r="C493" s="95">
        <v>453717.36</v>
      </c>
      <c r="D493" s="210">
        <v>0</v>
      </c>
      <c r="E493" s="209">
        <f t="shared" si="60"/>
        <v>453717.36</v>
      </c>
      <c r="F493" s="28">
        <v>39157</v>
      </c>
      <c r="G493" s="28">
        <f t="shared" si="61"/>
        <v>11.587132824271523</v>
      </c>
      <c r="H493" s="65">
        <f t="shared" si="64"/>
        <v>-1.8476531810819652E-2</v>
      </c>
      <c r="I493" s="72">
        <f t="shared" si="62"/>
        <v>9.2326913970651514E-2</v>
      </c>
      <c r="J493" s="207">
        <v>183.08</v>
      </c>
      <c r="K493" s="65">
        <f t="shared" si="65"/>
        <v>-1.2300388433318932E-2</v>
      </c>
      <c r="L493" s="72">
        <f t="shared" si="63"/>
        <v>0.17736334405144705</v>
      </c>
    </row>
    <row r="494" spans="1:12" ht="15.75" hidden="1" thickBot="1" x14ac:dyDescent="0.3">
      <c r="A494">
        <v>4</v>
      </c>
      <c r="B494" s="27">
        <v>45966</v>
      </c>
      <c r="C494" s="95">
        <v>455449.06000000006</v>
      </c>
      <c r="D494" s="210">
        <v>0</v>
      </c>
      <c r="E494" s="209">
        <f t="shared" si="60"/>
        <v>455449.06000000006</v>
      </c>
      <c r="F494" s="28">
        <v>39157</v>
      </c>
      <c r="G494" s="28">
        <f t="shared" si="61"/>
        <v>11.631357356283679</v>
      </c>
      <c r="H494" s="65">
        <f t="shared" si="64"/>
        <v>3.8166932823553434E-3</v>
      </c>
      <c r="I494" s="72">
        <f t="shared" si="62"/>
        <v>9.6495990765339323E-2</v>
      </c>
      <c r="J494" s="207">
        <v>183.91</v>
      </c>
      <c r="K494" s="65">
        <f t="shared" si="65"/>
        <v>4.5335372514747618E-3</v>
      </c>
      <c r="L494" s="72">
        <f t="shared" si="63"/>
        <v>0.18270096463022512</v>
      </c>
    </row>
    <row r="495" spans="1:12" ht="15.75" hidden="1" thickBot="1" x14ac:dyDescent="0.3">
      <c r="A495">
        <v>4</v>
      </c>
      <c r="B495" s="27">
        <v>45967</v>
      </c>
      <c r="C495" s="95">
        <v>449735.66000000003</v>
      </c>
      <c r="D495" s="210">
        <v>0</v>
      </c>
      <c r="E495" s="209">
        <f t="shared" si="60"/>
        <v>449735.66000000003</v>
      </c>
      <c r="F495" s="28">
        <v>39157</v>
      </c>
      <c r="G495" s="28">
        <f t="shared" si="61"/>
        <v>11.485447301887275</v>
      </c>
      <c r="H495" s="65">
        <f t="shared" si="64"/>
        <v>-1.2544542302930672E-2</v>
      </c>
      <c r="I495" s="72">
        <f t="shared" si="62"/>
        <v>8.2740950424189608E-2</v>
      </c>
      <c r="J495" s="207">
        <v>182.17</v>
      </c>
      <c r="K495" s="65">
        <f t="shared" si="65"/>
        <v>-9.4611494752868674E-3</v>
      </c>
      <c r="L495" s="72">
        <f t="shared" si="63"/>
        <v>0.17151125401929246</v>
      </c>
    </row>
    <row r="496" spans="1:12" ht="15.75" hidden="1" thickBot="1" x14ac:dyDescent="0.3">
      <c r="A496">
        <v>4</v>
      </c>
      <c r="B496" s="27">
        <v>45968</v>
      </c>
      <c r="C496" s="95">
        <v>449660.50000000012</v>
      </c>
      <c r="D496" s="210">
        <v>0</v>
      </c>
      <c r="E496" s="209">
        <f t="shared" si="60"/>
        <v>449660.50000000012</v>
      </c>
      <c r="F496" s="28">
        <v>39157</v>
      </c>
      <c r="G496" s="28">
        <f t="shared" si="61"/>
        <v>11.48352784942667</v>
      </c>
      <c r="H496" s="65">
        <f t="shared" si="64"/>
        <v>-1.6712039245436738E-4</v>
      </c>
      <c r="I496" s="72">
        <f t="shared" si="62"/>
        <v>8.2560002331628413E-2</v>
      </c>
      <c r="J496" s="207">
        <v>182.56</v>
      </c>
      <c r="K496" s="65">
        <f t="shared" si="65"/>
        <v>2.1408574408521286E-3</v>
      </c>
      <c r="L496" s="72">
        <f t="shared" si="63"/>
        <v>0.17401929260450166</v>
      </c>
    </row>
    <row r="497" spans="1:12" ht="15.75" hidden="1" thickBot="1" x14ac:dyDescent="0.3">
      <c r="A497">
        <v>4</v>
      </c>
      <c r="B497" s="27">
        <v>45969</v>
      </c>
      <c r="C497" s="95">
        <v>449660.50000000012</v>
      </c>
      <c r="D497" s="210">
        <v>0</v>
      </c>
      <c r="E497" s="209">
        <f t="shared" si="60"/>
        <v>449660.50000000012</v>
      </c>
      <c r="F497" s="28">
        <v>39157</v>
      </c>
      <c r="G497" s="28">
        <f t="shared" si="61"/>
        <v>11.48352784942667</v>
      </c>
      <c r="H497" s="65">
        <f t="shared" si="64"/>
        <v>0</v>
      </c>
      <c r="I497" s="72">
        <f t="shared" si="62"/>
        <v>8.2560002331628413E-2</v>
      </c>
      <c r="J497" s="207">
        <v>182.56</v>
      </c>
      <c r="K497" s="65">
        <f t="shared" si="65"/>
        <v>0</v>
      </c>
      <c r="L497" s="72">
        <f t="shared" si="63"/>
        <v>0.17401929260450166</v>
      </c>
    </row>
    <row r="498" spans="1:12" ht="15.75" hidden="1" thickBot="1" x14ac:dyDescent="0.3">
      <c r="A498">
        <v>4</v>
      </c>
      <c r="B498" s="27">
        <v>45970</v>
      </c>
      <c r="C498" s="95">
        <v>449660.50000000012</v>
      </c>
      <c r="D498" s="210">
        <v>0</v>
      </c>
      <c r="E498" s="209">
        <f t="shared" si="60"/>
        <v>449660.50000000012</v>
      </c>
      <c r="F498" s="28">
        <v>39157</v>
      </c>
      <c r="G498" s="28">
        <f t="shared" si="61"/>
        <v>11.48352784942667</v>
      </c>
      <c r="H498" s="65">
        <f t="shared" si="64"/>
        <v>0</v>
      </c>
      <c r="I498" s="72">
        <f t="shared" si="62"/>
        <v>8.2560002331628413E-2</v>
      </c>
      <c r="J498" s="207">
        <v>182.56</v>
      </c>
      <c r="K498" s="65">
        <f t="shared" si="65"/>
        <v>0</v>
      </c>
      <c r="L498" s="72">
        <f t="shared" si="63"/>
        <v>0.17401929260450166</v>
      </c>
    </row>
    <row r="499" spans="1:12" ht="15.75" hidden="1" thickBot="1" x14ac:dyDescent="0.3">
      <c r="A499">
        <v>4</v>
      </c>
      <c r="B499" s="27">
        <v>45971</v>
      </c>
      <c r="C499" s="95">
        <v>456507.79000000004</v>
      </c>
      <c r="D499" s="210">
        <v>0</v>
      </c>
      <c r="E499" s="209">
        <f t="shared" si="60"/>
        <v>456507.79000000004</v>
      </c>
      <c r="F499" s="28">
        <v>39157</v>
      </c>
      <c r="G499" s="28">
        <f t="shared" si="61"/>
        <v>11.658395433766632</v>
      </c>
      <c r="H499" s="65">
        <f t="shared" si="64"/>
        <v>1.5227688444948706E-2</v>
      </c>
      <c r="I499" s="72">
        <f t="shared" si="62"/>
        <v>9.9044888770097428E-2</v>
      </c>
      <c r="J499" s="207">
        <v>185.17</v>
      </c>
      <c r="K499" s="65">
        <f t="shared" si="65"/>
        <v>1.4296669588080624E-2</v>
      </c>
      <c r="L499" s="72">
        <f t="shared" si="63"/>
        <v>0.1908038585209002</v>
      </c>
    </row>
    <row r="500" spans="1:12" ht="15.75" hidden="1" thickBot="1" x14ac:dyDescent="0.3">
      <c r="A500">
        <v>4</v>
      </c>
      <c r="B500" s="27">
        <v>45972</v>
      </c>
      <c r="C500" s="95">
        <v>456547.58000000007</v>
      </c>
      <c r="D500" s="210">
        <v>0</v>
      </c>
      <c r="E500" s="209">
        <f t="shared" si="60"/>
        <v>456547.58000000007</v>
      </c>
      <c r="F500" s="28">
        <v>39157</v>
      </c>
      <c r="G500" s="28">
        <f t="shared" si="61"/>
        <v>11.659411599458592</v>
      </c>
      <c r="H500" s="65">
        <f t="shared" si="64"/>
        <v>8.7161710865979458E-5</v>
      </c>
      <c r="I500" s="72">
        <f t="shared" si="62"/>
        <v>9.9140683402921148E-2</v>
      </c>
      <c r="J500" s="207">
        <v>185.76</v>
      </c>
      <c r="K500" s="65">
        <f t="shared" si="65"/>
        <v>3.1862612734243623E-3</v>
      </c>
      <c r="L500" s="72">
        <f t="shared" si="63"/>
        <v>0.19459807073954982</v>
      </c>
    </row>
    <row r="501" spans="1:12" ht="15.75" hidden="1" thickBot="1" x14ac:dyDescent="0.3">
      <c r="A501">
        <v>4</v>
      </c>
      <c r="B501" s="27">
        <v>45973</v>
      </c>
      <c r="C501" s="95">
        <v>456169.55000000005</v>
      </c>
      <c r="D501" s="210">
        <v>0</v>
      </c>
      <c r="E501" s="209">
        <f t="shared" si="60"/>
        <v>456169.55000000005</v>
      </c>
      <c r="F501" s="28">
        <v>39157</v>
      </c>
      <c r="G501" s="28">
        <f t="shared" si="61"/>
        <v>11.649757386929542</v>
      </c>
      <c r="H501" s="65">
        <f t="shared" si="64"/>
        <v>-8.2801884526473302E-4</v>
      </c>
      <c r="I501" s="72">
        <f t="shared" si="62"/>
        <v>9.823057420346637E-2</v>
      </c>
      <c r="J501" s="207">
        <v>186.24</v>
      </c>
      <c r="K501" s="65">
        <f t="shared" si="65"/>
        <v>2.5839793281654533E-3</v>
      </c>
      <c r="L501" s="72">
        <f t="shared" si="63"/>
        <v>0.19768488745980717</v>
      </c>
    </row>
    <row r="502" spans="1:12" ht="15.75" hidden="1" thickBot="1" x14ac:dyDescent="0.3">
      <c r="A502">
        <v>4</v>
      </c>
      <c r="B502" s="27">
        <v>45974</v>
      </c>
      <c r="C502" s="95">
        <v>449407.13000000012</v>
      </c>
      <c r="D502" s="210">
        <v>0</v>
      </c>
      <c r="E502" s="209">
        <f t="shared" si="60"/>
        <v>449407.13000000012</v>
      </c>
      <c r="F502" s="28">
        <v>39157</v>
      </c>
      <c r="G502" s="28">
        <f t="shared" si="61"/>
        <v>11.477057231146414</v>
      </c>
      <c r="H502" s="65">
        <f t="shared" si="64"/>
        <v>-1.4824356426245244E-2</v>
      </c>
      <c r="I502" s="72">
        <f t="shared" si="62"/>
        <v>8.195001273327418E-2</v>
      </c>
      <c r="J502" s="207">
        <v>183.23</v>
      </c>
      <c r="K502" s="65">
        <f t="shared" si="65"/>
        <v>-1.6161941580756123E-2</v>
      </c>
      <c r="L502" s="72">
        <f t="shared" si="63"/>
        <v>0.17832797427652736</v>
      </c>
    </row>
    <row r="503" spans="1:12" ht="15.75" hidden="1" thickBot="1" x14ac:dyDescent="0.3">
      <c r="A503">
        <v>4</v>
      </c>
      <c r="B503" s="27">
        <v>45975</v>
      </c>
      <c r="C503" s="95">
        <v>448457.46500000008</v>
      </c>
      <c r="D503" s="210">
        <v>0</v>
      </c>
      <c r="E503" s="209">
        <f t="shared" si="60"/>
        <v>448457.46500000008</v>
      </c>
      <c r="F503" s="28">
        <v>39157</v>
      </c>
      <c r="G503" s="28">
        <f t="shared" si="61"/>
        <v>11.452804479403429</v>
      </c>
      <c r="H503" s="65">
        <f t="shared" si="64"/>
        <v>-2.113150719259993E-3</v>
      </c>
      <c r="I503" s="72">
        <f t="shared" si="62"/>
        <v>7.9663689285663475E-2</v>
      </c>
      <c r="J503" s="207">
        <v>183.19</v>
      </c>
      <c r="K503" s="65">
        <f t="shared" si="65"/>
        <v>-2.1830486274077021E-4</v>
      </c>
      <c r="L503" s="72">
        <f t="shared" si="63"/>
        <v>0.17807073954983932</v>
      </c>
    </row>
    <row r="504" spans="1:12" ht="15.75" hidden="1" thickBot="1" x14ac:dyDescent="0.3">
      <c r="A504">
        <v>4</v>
      </c>
      <c r="B504" s="27">
        <v>45976</v>
      </c>
      <c r="C504" s="95">
        <v>448457.46500000008</v>
      </c>
      <c r="D504" s="210">
        <v>0</v>
      </c>
      <c r="E504" s="209">
        <f t="shared" si="60"/>
        <v>448457.46500000008</v>
      </c>
      <c r="F504" s="28">
        <v>39157</v>
      </c>
      <c r="G504" s="28">
        <f t="shared" si="61"/>
        <v>11.452804479403429</v>
      </c>
      <c r="H504" s="65">
        <f t="shared" si="64"/>
        <v>0</v>
      </c>
      <c r="I504" s="72">
        <f t="shared" si="62"/>
        <v>7.9663689285663475E-2</v>
      </c>
      <c r="J504" s="207">
        <v>183.19</v>
      </c>
      <c r="K504" s="65">
        <f t="shared" si="65"/>
        <v>0</v>
      </c>
      <c r="L504" s="72">
        <f t="shared" si="63"/>
        <v>0.17807073954983932</v>
      </c>
    </row>
    <row r="505" spans="1:12" ht="15.75" hidden="1" thickBot="1" x14ac:dyDescent="0.3">
      <c r="A505">
        <v>4</v>
      </c>
      <c r="B505" s="27">
        <v>45977</v>
      </c>
      <c r="C505" s="95">
        <v>448457.46500000008</v>
      </c>
      <c r="D505" s="210">
        <v>0</v>
      </c>
      <c r="E505" s="209">
        <f t="shared" si="60"/>
        <v>448457.46500000008</v>
      </c>
      <c r="F505" s="28">
        <v>39157</v>
      </c>
      <c r="G505" s="28">
        <f t="shared" si="61"/>
        <v>11.452804479403429</v>
      </c>
      <c r="H505" s="65">
        <f t="shared" si="64"/>
        <v>0</v>
      </c>
      <c r="I505" s="72">
        <f t="shared" si="62"/>
        <v>7.9663689285663475E-2</v>
      </c>
      <c r="J505" s="207">
        <v>183.19</v>
      </c>
      <c r="K505" s="65">
        <f t="shared" si="65"/>
        <v>0</v>
      </c>
      <c r="L505" s="72">
        <f t="shared" si="63"/>
        <v>0.17807073954983932</v>
      </c>
    </row>
    <row r="506" spans="1:12" ht="15.75" hidden="1" thickBot="1" x14ac:dyDescent="0.3">
      <c r="A506">
        <v>4</v>
      </c>
      <c r="B506" s="27">
        <v>45978</v>
      </c>
      <c r="C506" s="95">
        <v>444952.60000000009</v>
      </c>
      <c r="D506" s="210">
        <v>0</v>
      </c>
      <c r="E506" s="209">
        <f t="shared" ref="E506:E550" si="66">C506-D506</f>
        <v>444952.60000000009</v>
      </c>
      <c r="F506" s="28">
        <v>39157</v>
      </c>
      <c r="G506" s="28">
        <f t="shared" ref="G506:G550" si="67">E506/F506</f>
        <v>11.363296473172104</v>
      </c>
      <c r="H506" s="65">
        <f t="shared" si="64"/>
        <v>-7.8153788787973522E-3</v>
      </c>
      <c r="I506" s="72">
        <f t="shared" ref="I506:I550" si="68">G506/$G$186-1</f>
        <v>7.1225708492215878E-2</v>
      </c>
      <c r="J506" s="207">
        <v>181.28</v>
      </c>
      <c r="K506" s="65">
        <f t="shared" si="65"/>
        <v>-1.0426333315137315E-2</v>
      </c>
      <c r="L506" s="72">
        <f t="shared" ref="L506:L550" si="69">J506/$J$186-1</f>
        <v>0.16578778135048222</v>
      </c>
    </row>
    <row r="507" spans="1:12" ht="15.75" hidden="1" thickBot="1" x14ac:dyDescent="0.3">
      <c r="A507">
        <v>4</v>
      </c>
      <c r="B507" s="27">
        <v>45979</v>
      </c>
      <c r="C507" s="95">
        <v>440910.26000000013</v>
      </c>
      <c r="D507" s="210">
        <v>0</v>
      </c>
      <c r="E507" s="209">
        <f t="shared" si="66"/>
        <v>440910.26000000013</v>
      </c>
      <c r="F507" s="28">
        <v>39157</v>
      </c>
      <c r="G507" s="28">
        <f t="shared" si="67"/>
        <v>11.260062313251785</v>
      </c>
      <c r="H507" s="65">
        <f t="shared" ref="H507:H550" si="70">G507/G506 -1</f>
        <v>-9.0848778049615886E-3</v>
      </c>
      <c r="I507" s="72">
        <f t="shared" si="68"/>
        <v>6.1493753829030773E-2</v>
      </c>
      <c r="J507" s="207">
        <v>179.77</v>
      </c>
      <c r="K507" s="65">
        <f t="shared" ref="K507:K550" si="71">J507/J506 -1</f>
        <v>-8.3296557811119998E-3</v>
      </c>
      <c r="L507" s="72">
        <f t="shared" si="69"/>
        <v>0.15607717041800639</v>
      </c>
    </row>
    <row r="508" spans="1:12" ht="15.75" hidden="1" thickBot="1" x14ac:dyDescent="0.3">
      <c r="A508">
        <v>4</v>
      </c>
      <c r="B508" s="27">
        <v>45980</v>
      </c>
      <c r="C508" s="95">
        <v>441643.62000000011</v>
      </c>
      <c r="D508" s="210">
        <v>0</v>
      </c>
      <c r="E508" s="209">
        <f t="shared" si="66"/>
        <v>441643.62000000011</v>
      </c>
      <c r="F508" s="28">
        <v>39157</v>
      </c>
      <c r="G508" s="28">
        <f t="shared" si="67"/>
        <v>11.278791020762574</v>
      </c>
      <c r="H508" s="65">
        <f t="shared" si="70"/>
        <v>1.6632863113685836E-3</v>
      </c>
      <c r="I508" s="72">
        <f t="shared" si="68"/>
        <v>6.3259321859377771E-2</v>
      </c>
      <c r="J508" s="207">
        <v>180.06</v>
      </c>
      <c r="K508" s="65">
        <f t="shared" si="71"/>
        <v>1.6131723869388104E-3</v>
      </c>
      <c r="L508" s="72">
        <f t="shared" si="69"/>
        <v>0.15794212218649517</v>
      </c>
    </row>
    <row r="509" spans="1:12" ht="15.75" hidden="1" thickBot="1" x14ac:dyDescent="0.3">
      <c r="A509">
        <v>4</v>
      </c>
      <c r="B509" s="27">
        <v>45981</v>
      </c>
      <c r="C509" s="95">
        <v>436037.61</v>
      </c>
      <c r="D509" s="210">
        <v>0</v>
      </c>
      <c r="E509" s="209">
        <f t="shared" si="66"/>
        <v>436037.61</v>
      </c>
      <c r="F509" s="28">
        <v>39157</v>
      </c>
      <c r="G509" s="28">
        <f t="shared" si="67"/>
        <v>11.135623515591082</v>
      </c>
      <c r="H509" s="65">
        <f t="shared" si="70"/>
        <v>-1.2693515192181648E-2</v>
      </c>
      <c r="I509" s="72">
        <f t="shared" si="68"/>
        <v>4.9762823504126974E-2</v>
      </c>
      <c r="J509" s="207">
        <v>177.3</v>
      </c>
      <c r="K509" s="65">
        <f t="shared" si="71"/>
        <v>-1.5328223925358153E-2</v>
      </c>
      <c r="L509" s="72">
        <f t="shared" si="69"/>
        <v>0.1401929260450161</v>
      </c>
    </row>
    <row r="510" spans="1:12" ht="15.75" hidden="1" thickBot="1" x14ac:dyDescent="0.3">
      <c r="A510">
        <v>4</v>
      </c>
      <c r="B510" s="27">
        <v>45982</v>
      </c>
      <c r="C510" s="95">
        <v>440305.93999999994</v>
      </c>
      <c r="D510" s="210">
        <v>0</v>
      </c>
      <c r="E510" s="209">
        <f t="shared" si="66"/>
        <v>440305.93999999994</v>
      </c>
      <c r="F510" s="28">
        <v>39157</v>
      </c>
      <c r="G510" s="28">
        <f t="shared" si="67"/>
        <v>11.244629057384374</v>
      </c>
      <c r="H510" s="65">
        <f t="shared" si="70"/>
        <v>9.7889033012541482E-3</v>
      </c>
      <c r="I510" s="72">
        <f t="shared" si="68"/>
        <v>6.0038850272660316E-2</v>
      </c>
      <c r="J510" s="207">
        <v>179.18</v>
      </c>
      <c r="K510" s="65">
        <f t="shared" si="71"/>
        <v>1.0603496897913178E-2</v>
      </c>
      <c r="L510" s="72">
        <f t="shared" si="69"/>
        <v>0.152282958199357</v>
      </c>
    </row>
    <row r="511" spans="1:12" ht="15.75" hidden="1" thickBot="1" x14ac:dyDescent="0.3">
      <c r="A511">
        <v>4</v>
      </c>
      <c r="B511" s="27">
        <v>45983</v>
      </c>
      <c r="C511" s="95">
        <v>440305.93999999994</v>
      </c>
      <c r="D511" s="210">
        <v>0</v>
      </c>
      <c r="E511" s="209">
        <f t="shared" si="66"/>
        <v>440305.93999999994</v>
      </c>
      <c r="F511" s="28">
        <v>39157</v>
      </c>
      <c r="G511" s="28">
        <f t="shared" si="67"/>
        <v>11.244629057384374</v>
      </c>
      <c r="H511" s="65">
        <f t="shared" si="70"/>
        <v>0</v>
      </c>
      <c r="I511" s="72">
        <f t="shared" si="68"/>
        <v>6.0038850272660316E-2</v>
      </c>
      <c r="J511" s="207">
        <v>179.18</v>
      </c>
      <c r="K511" s="65">
        <f t="shared" si="71"/>
        <v>0</v>
      </c>
      <c r="L511" s="72">
        <f t="shared" si="69"/>
        <v>0.152282958199357</v>
      </c>
    </row>
    <row r="512" spans="1:12" ht="15.75" hidden="1" thickBot="1" x14ac:dyDescent="0.3">
      <c r="A512">
        <v>4</v>
      </c>
      <c r="B512" s="27">
        <v>45984</v>
      </c>
      <c r="C512" s="95">
        <v>440305.93999999994</v>
      </c>
      <c r="D512" s="210">
        <v>0</v>
      </c>
      <c r="E512" s="209">
        <f t="shared" si="66"/>
        <v>440305.93999999994</v>
      </c>
      <c r="F512" s="28">
        <v>39157</v>
      </c>
      <c r="G512" s="28">
        <f t="shared" si="67"/>
        <v>11.244629057384374</v>
      </c>
      <c r="H512" s="65">
        <f t="shared" si="70"/>
        <v>0</v>
      </c>
      <c r="I512" s="72">
        <f t="shared" si="68"/>
        <v>6.0038850272660316E-2</v>
      </c>
      <c r="J512" s="207">
        <v>179.18</v>
      </c>
      <c r="K512" s="65">
        <f t="shared" si="71"/>
        <v>0</v>
      </c>
      <c r="L512" s="72">
        <f t="shared" si="69"/>
        <v>0.152282958199357</v>
      </c>
    </row>
    <row r="513" spans="1:12" ht="15.75" hidden="1" thickBot="1" x14ac:dyDescent="0.3">
      <c r="A513">
        <v>4</v>
      </c>
      <c r="B513" s="27">
        <v>45985</v>
      </c>
      <c r="C513" s="95">
        <v>444951.66000000003</v>
      </c>
      <c r="D513" s="210">
        <v>0</v>
      </c>
      <c r="E513" s="209">
        <f t="shared" si="66"/>
        <v>444951.66000000003</v>
      </c>
      <c r="F513" s="28">
        <v>39157</v>
      </c>
      <c r="G513" s="28">
        <f t="shared" si="67"/>
        <v>11.363272467247237</v>
      </c>
      <c r="H513" s="65">
        <f t="shared" si="70"/>
        <v>1.0551118161158834E-2</v>
      </c>
      <c r="I513" s="72">
        <f t="shared" si="68"/>
        <v>7.1223445437306188E-2</v>
      </c>
      <c r="J513" s="207">
        <v>181.16</v>
      </c>
      <c r="K513" s="65">
        <f t="shared" si="71"/>
        <v>1.1050340439781259E-2</v>
      </c>
      <c r="L513" s="72">
        <f t="shared" si="69"/>
        <v>0.16501607717041789</v>
      </c>
    </row>
    <row r="514" spans="1:12" ht="15.75" hidden="1" thickBot="1" x14ac:dyDescent="0.3">
      <c r="A514">
        <v>4</v>
      </c>
      <c r="B514" s="27">
        <v>45986</v>
      </c>
      <c r="C514" s="95">
        <v>449396.9800000001</v>
      </c>
      <c r="D514" s="210">
        <v>0</v>
      </c>
      <c r="E514" s="209">
        <f t="shared" si="66"/>
        <v>449396.9800000001</v>
      </c>
      <c r="F514" s="28">
        <v>39157</v>
      </c>
      <c r="G514" s="28">
        <f t="shared" si="67"/>
        <v>11.476798018234289</v>
      </c>
      <c r="H514" s="65">
        <f t="shared" si="70"/>
        <v>9.9905684136565309E-3</v>
      </c>
      <c r="I514" s="72">
        <f t="shared" si="68"/>
        <v>8.1925576555260449E-2</v>
      </c>
      <c r="J514" s="207">
        <v>183.22</v>
      </c>
      <c r="K514" s="65">
        <f t="shared" si="71"/>
        <v>1.1371163612276414E-2</v>
      </c>
      <c r="L514" s="72">
        <f t="shared" si="69"/>
        <v>0.17826366559485529</v>
      </c>
    </row>
    <row r="515" spans="1:12" ht="15.75" hidden="1" thickBot="1" x14ac:dyDescent="0.3">
      <c r="A515">
        <v>4</v>
      </c>
      <c r="B515" s="27">
        <v>45987</v>
      </c>
      <c r="C515" s="95">
        <v>452081.65</v>
      </c>
      <c r="D515" s="210">
        <v>0</v>
      </c>
      <c r="E515" s="209">
        <f t="shared" si="66"/>
        <v>452081.65</v>
      </c>
      <c r="F515" s="28">
        <v>39157</v>
      </c>
      <c r="G515" s="28">
        <f t="shared" si="67"/>
        <v>11.545359705799729</v>
      </c>
      <c r="H515" s="65">
        <f t="shared" si="70"/>
        <v>5.9739386766683999E-3</v>
      </c>
      <c r="I515" s="72">
        <f t="shared" si="68"/>
        <v>8.8388933602320474E-2</v>
      </c>
      <c r="J515" s="207">
        <v>184.73</v>
      </c>
      <c r="K515" s="65">
        <f t="shared" si="71"/>
        <v>8.2414583560745935E-3</v>
      </c>
      <c r="L515" s="72">
        <f t="shared" si="69"/>
        <v>0.18797427652733112</v>
      </c>
    </row>
    <row r="516" spans="1:12" ht="15.75" hidden="1" thickBot="1" x14ac:dyDescent="0.3">
      <c r="A516">
        <v>4</v>
      </c>
      <c r="B516" s="27">
        <v>45988</v>
      </c>
      <c r="C516" s="95">
        <v>452081.65</v>
      </c>
      <c r="D516" s="210">
        <v>0</v>
      </c>
      <c r="E516" s="209">
        <f t="shared" si="66"/>
        <v>452081.65</v>
      </c>
      <c r="F516" s="28">
        <v>39157</v>
      </c>
      <c r="G516" s="28">
        <f t="shared" si="67"/>
        <v>11.545359705799729</v>
      </c>
      <c r="H516" s="65">
        <f t="shared" si="70"/>
        <v>0</v>
      </c>
      <c r="I516" s="72">
        <f t="shared" si="68"/>
        <v>8.8388933602320474E-2</v>
      </c>
      <c r="J516" s="207">
        <v>184.73</v>
      </c>
      <c r="K516" s="65">
        <f t="shared" si="71"/>
        <v>0</v>
      </c>
      <c r="L516" s="72">
        <f t="shared" si="69"/>
        <v>0.18797427652733112</v>
      </c>
    </row>
    <row r="517" spans="1:12" ht="15.75" hidden="1" thickBot="1" x14ac:dyDescent="0.3">
      <c r="A517">
        <v>4</v>
      </c>
      <c r="B517" s="27">
        <v>45989</v>
      </c>
      <c r="C517" s="95">
        <v>456335.82000000007</v>
      </c>
      <c r="D517" s="210">
        <v>0</v>
      </c>
      <c r="E517" s="209">
        <f t="shared" si="66"/>
        <v>456335.82000000007</v>
      </c>
      <c r="F517" s="28">
        <v>39157</v>
      </c>
      <c r="G517" s="28">
        <f t="shared" si="67"/>
        <v>11.654003626426949</v>
      </c>
      <c r="H517" s="65">
        <f t="shared" si="70"/>
        <v>9.41018066094923E-3</v>
      </c>
      <c r="I517" s="72">
        <f t="shared" si="68"/>
        <v>9.8630870096896306E-2</v>
      </c>
      <c r="J517" s="207">
        <v>185.66</v>
      </c>
      <c r="K517" s="65">
        <f t="shared" si="71"/>
        <v>5.0343744925025469E-3</v>
      </c>
      <c r="L517" s="72">
        <f t="shared" si="69"/>
        <v>0.19395498392282962</v>
      </c>
    </row>
    <row r="518" spans="1:12" ht="15.75" hidden="1" thickBot="1" x14ac:dyDescent="0.3">
      <c r="A518">
        <v>4</v>
      </c>
      <c r="B518" s="27">
        <v>45990</v>
      </c>
      <c r="C518" s="95">
        <v>456335.82000000007</v>
      </c>
      <c r="D518" s="210">
        <v>0</v>
      </c>
      <c r="E518" s="209">
        <f t="shared" si="66"/>
        <v>456335.82000000007</v>
      </c>
      <c r="F518" s="28">
        <v>39157</v>
      </c>
      <c r="G518" s="28">
        <f t="shared" si="67"/>
        <v>11.654003626426949</v>
      </c>
      <c r="H518" s="65">
        <f t="shared" si="70"/>
        <v>0</v>
      </c>
      <c r="I518" s="72">
        <f t="shared" si="68"/>
        <v>9.8630870096896306E-2</v>
      </c>
      <c r="J518" s="207">
        <v>185.66</v>
      </c>
      <c r="K518" s="65">
        <f t="shared" si="71"/>
        <v>0</v>
      </c>
      <c r="L518" s="72">
        <f t="shared" si="69"/>
        <v>0.19395498392282962</v>
      </c>
    </row>
    <row r="519" spans="1:12" ht="15.75" hidden="1" thickBot="1" x14ac:dyDescent="0.3">
      <c r="A519">
        <v>4</v>
      </c>
      <c r="B519" s="27">
        <v>45991</v>
      </c>
      <c r="C519" s="95">
        <v>456335.82000000007</v>
      </c>
      <c r="D519" s="210">
        <v>0</v>
      </c>
      <c r="E519" s="209">
        <f t="shared" si="66"/>
        <v>456335.82000000007</v>
      </c>
      <c r="F519" s="28">
        <v>39157</v>
      </c>
      <c r="G519" s="28">
        <f t="shared" si="67"/>
        <v>11.654003626426949</v>
      </c>
      <c r="H519" s="65">
        <f t="shared" si="70"/>
        <v>0</v>
      </c>
      <c r="I519" s="72">
        <f t="shared" si="68"/>
        <v>9.8630870096896306E-2</v>
      </c>
      <c r="J519" s="207">
        <v>185.66</v>
      </c>
      <c r="K519" s="65">
        <f t="shared" si="71"/>
        <v>0</v>
      </c>
      <c r="L519" s="72">
        <f t="shared" si="69"/>
        <v>0.19395498392282962</v>
      </c>
    </row>
    <row r="520" spans="1:12" ht="15.75" hidden="1" thickBot="1" x14ac:dyDescent="0.3">
      <c r="A520">
        <v>4</v>
      </c>
      <c r="B520" s="27">
        <v>45992</v>
      </c>
      <c r="C520" s="95">
        <v>454148.82999999996</v>
      </c>
      <c r="D520" s="210">
        <v>0</v>
      </c>
      <c r="E520" s="209">
        <f t="shared" si="66"/>
        <v>454148.82999999996</v>
      </c>
      <c r="F520" s="28">
        <v>39157</v>
      </c>
      <c r="G520" s="28">
        <f t="shared" si="67"/>
        <v>11.598151799167454</v>
      </c>
      <c r="H520" s="65">
        <f t="shared" si="70"/>
        <v>-4.7925012768010866E-3</v>
      </c>
      <c r="I520" s="72">
        <f t="shared" si="68"/>
        <v>9.3365680249223981E-2</v>
      </c>
      <c r="J520" s="207">
        <v>184.83</v>
      </c>
      <c r="K520" s="65">
        <f t="shared" si="71"/>
        <v>-4.4705375417428694E-3</v>
      </c>
      <c r="L520" s="72">
        <f t="shared" si="69"/>
        <v>0.18861736334405155</v>
      </c>
    </row>
    <row r="521" spans="1:12" ht="15.75" hidden="1" thickBot="1" x14ac:dyDescent="0.3">
      <c r="A521">
        <v>4</v>
      </c>
      <c r="B521" s="27">
        <v>45993</v>
      </c>
      <c r="C521" s="95">
        <v>455007.70000000007</v>
      </c>
      <c r="D521" s="210">
        <v>0</v>
      </c>
      <c r="E521" s="209">
        <f t="shared" si="66"/>
        <v>455007.70000000007</v>
      </c>
      <c r="F521" s="28">
        <v>39157</v>
      </c>
      <c r="G521" s="28">
        <f t="shared" si="67"/>
        <v>11.620085808412291</v>
      </c>
      <c r="H521" s="65">
        <f t="shared" si="70"/>
        <v>1.891164180694016E-3</v>
      </c>
      <c r="I521" s="72">
        <f t="shared" si="68"/>
        <v>9.5433414260111427E-2</v>
      </c>
      <c r="J521" s="207">
        <v>185.28</v>
      </c>
      <c r="K521" s="65">
        <f t="shared" si="71"/>
        <v>2.4346696964778758E-3</v>
      </c>
      <c r="L521" s="72">
        <f t="shared" si="69"/>
        <v>0.1915112540192927</v>
      </c>
    </row>
    <row r="522" spans="1:12" ht="15.75" hidden="1" thickBot="1" x14ac:dyDescent="0.3">
      <c r="A522">
        <v>4</v>
      </c>
      <c r="B522" s="27">
        <v>45994</v>
      </c>
      <c r="C522" s="95">
        <v>456971.24</v>
      </c>
      <c r="D522" s="210">
        <v>0</v>
      </c>
      <c r="E522" s="209">
        <f t="shared" si="66"/>
        <v>456971.24</v>
      </c>
      <c r="F522" s="28">
        <v>39157</v>
      </c>
      <c r="G522" s="28">
        <f t="shared" si="67"/>
        <v>11.670231120872385</v>
      </c>
      <c r="H522" s="65">
        <f t="shared" si="70"/>
        <v>4.3153994976345977E-3</v>
      </c>
      <c r="I522" s="72">
        <f t="shared" si="68"/>
        <v>0.10016064706570171</v>
      </c>
      <c r="J522" s="207">
        <v>186.06</v>
      </c>
      <c r="K522" s="65">
        <f t="shared" si="71"/>
        <v>4.2098445595855072E-3</v>
      </c>
      <c r="L522" s="72">
        <f t="shared" si="69"/>
        <v>0.19652733118971066</v>
      </c>
    </row>
    <row r="523" spans="1:12" ht="15.75" hidden="1" thickBot="1" x14ac:dyDescent="0.3">
      <c r="A523">
        <v>4</v>
      </c>
      <c r="B523" s="27">
        <v>45995</v>
      </c>
      <c r="C523" s="95">
        <v>458213.33999999997</v>
      </c>
      <c r="D523" s="210">
        <v>0</v>
      </c>
      <c r="E523" s="209">
        <f t="shared" si="66"/>
        <v>458213.33999999997</v>
      </c>
      <c r="F523" s="28">
        <v>39157</v>
      </c>
      <c r="G523" s="28">
        <f t="shared" si="67"/>
        <v>11.701952141379573</v>
      </c>
      <c r="H523" s="65">
        <f t="shared" si="70"/>
        <v>2.7181141640335582E-3</v>
      </c>
      <c r="I523" s="72">
        <f t="shared" si="68"/>
        <v>0.10315100930320331</v>
      </c>
      <c r="J523" s="207">
        <v>186.25</v>
      </c>
      <c r="K523" s="65">
        <f t="shared" si="71"/>
        <v>1.0211759647424934E-3</v>
      </c>
      <c r="L523" s="72">
        <f t="shared" si="69"/>
        <v>0.19774919614147901</v>
      </c>
    </row>
    <row r="524" spans="1:12" ht="15.75" hidden="1" thickBot="1" x14ac:dyDescent="0.3">
      <c r="A524">
        <v>4</v>
      </c>
      <c r="B524" s="27">
        <v>45996</v>
      </c>
      <c r="C524" s="95">
        <v>459110.02</v>
      </c>
      <c r="D524" s="210">
        <v>0</v>
      </c>
      <c r="E524" s="209">
        <f t="shared" si="66"/>
        <v>459110.02</v>
      </c>
      <c r="F524" s="28">
        <v>39157</v>
      </c>
      <c r="G524" s="28">
        <f t="shared" si="67"/>
        <v>11.72485175064484</v>
      </c>
      <c r="H524" s="65">
        <f t="shared" si="70"/>
        <v>1.9569050521315301E-3</v>
      </c>
      <c r="I524" s="72">
        <f t="shared" si="68"/>
        <v>0.10530977108657269</v>
      </c>
      <c r="J524" s="207">
        <v>186.58</v>
      </c>
      <c r="K524" s="65">
        <f t="shared" si="71"/>
        <v>1.7718120805370052E-3</v>
      </c>
      <c r="L524" s="72">
        <f t="shared" si="69"/>
        <v>0.19987138263665605</v>
      </c>
    </row>
    <row r="525" spans="1:12" ht="15.75" hidden="1" thickBot="1" x14ac:dyDescent="0.3">
      <c r="A525">
        <v>4</v>
      </c>
      <c r="B525" s="27">
        <v>45997</v>
      </c>
      <c r="C525" s="95">
        <v>459110.02</v>
      </c>
      <c r="D525" s="210">
        <v>0</v>
      </c>
      <c r="E525" s="209">
        <f t="shared" si="66"/>
        <v>459110.02</v>
      </c>
      <c r="F525" s="28">
        <v>39157</v>
      </c>
      <c r="G525" s="28">
        <f t="shared" si="67"/>
        <v>11.72485175064484</v>
      </c>
      <c r="H525" s="65">
        <f t="shared" si="70"/>
        <v>0</v>
      </c>
      <c r="I525" s="72">
        <f t="shared" si="68"/>
        <v>0.10530977108657269</v>
      </c>
      <c r="J525" s="207">
        <v>186.58</v>
      </c>
      <c r="K525" s="65">
        <f t="shared" si="71"/>
        <v>0</v>
      </c>
      <c r="L525" s="72">
        <f t="shared" si="69"/>
        <v>0.19987138263665605</v>
      </c>
    </row>
    <row r="526" spans="1:12" ht="15.75" hidden="1" thickBot="1" x14ac:dyDescent="0.3">
      <c r="A526">
        <v>4</v>
      </c>
      <c r="B526" s="27">
        <v>45998</v>
      </c>
      <c r="C526" s="95">
        <v>459110.02</v>
      </c>
      <c r="D526" s="210">
        <v>0</v>
      </c>
      <c r="E526" s="209">
        <f t="shared" si="66"/>
        <v>459110.02</v>
      </c>
      <c r="F526" s="28">
        <v>39157</v>
      </c>
      <c r="G526" s="28">
        <f t="shared" si="67"/>
        <v>11.72485175064484</v>
      </c>
      <c r="H526" s="65">
        <f t="shared" si="70"/>
        <v>0</v>
      </c>
      <c r="I526" s="72">
        <f t="shared" si="68"/>
        <v>0.10530977108657269</v>
      </c>
      <c r="J526" s="207">
        <v>186.58</v>
      </c>
      <c r="K526" s="65">
        <f t="shared" si="71"/>
        <v>0</v>
      </c>
      <c r="L526" s="72">
        <f t="shared" si="69"/>
        <v>0.19987138263665605</v>
      </c>
    </row>
    <row r="527" spans="1:12" ht="15.75" hidden="1" thickBot="1" x14ac:dyDescent="0.3">
      <c r="A527">
        <v>4</v>
      </c>
      <c r="B527" s="27">
        <v>45999</v>
      </c>
      <c r="C527" s="95">
        <v>457451.06999999995</v>
      </c>
      <c r="D527" s="210">
        <v>0</v>
      </c>
      <c r="E527" s="209">
        <f t="shared" si="66"/>
        <v>457451.06999999995</v>
      </c>
      <c r="F527" s="28">
        <v>39157</v>
      </c>
      <c r="G527" s="28">
        <f t="shared" si="67"/>
        <v>11.682485123988046</v>
      </c>
      <c r="H527" s="65">
        <f t="shared" si="70"/>
        <v>-3.6134040376640808E-3</v>
      </c>
      <c r="I527" s="72">
        <f t="shared" si="68"/>
        <v>0.10131584029685881</v>
      </c>
      <c r="J527">
        <v>185.91</v>
      </c>
      <c r="K527" s="65">
        <f t="shared" si="71"/>
        <v>-3.5909529424376085E-3</v>
      </c>
      <c r="L527" s="72">
        <f t="shared" si="69"/>
        <v>0.19556270096463013</v>
      </c>
    </row>
    <row r="528" spans="1:12" ht="15.75" hidden="1" thickBot="1" x14ac:dyDescent="0.3">
      <c r="A528">
        <v>4</v>
      </c>
      <c r="B528" s="27">
        <v>46000</v>
      </c>
      <c r="C528" s="95">
        <v>456307</v>
      </c>
      <c r="D528" s="210">
        <v>0</v>
      </c>
      <c r="E528" s="209">
        <f t="shared" si="66"/>
        <v>456307</v>
      </c>
      <c r="F528" s="28">
        <v>39157</v>
      </c>
      <c r="G528" s="28">
        <f t="shared" si="67"/>
        <v>11.653267614985825</v>
      </c>
      <c r="H528" s="65">
        <f t="shared" si="70"/>
        <v>-2.5009669340153584E-3</v>
      </c>
      <c r="I528" s="72">
        <f t="shared" si="68"/>
        <v>9.8561485796369031E-2</v>
      </c>
      <c r="J528" s="207">
        <v>185.88</v>
      </c>
      <c r="K528" s="65">
        <f t="shared" si="71"/>
        <v>-1.6136840406644204E-4</v>
      </c>
      <c r="L528" s="72">
        <f t="shared" si="69"/>
        <v>0.19536977491961416</v>
      </c>
    </row>
    <row r="529" spans="1:12" ht="15.75" hidden="1" thickBot="1" x14ac:dyDescent="0.3">
      <c r="A529">
        <v>4</v>
      </c>
      <c r="B529" s="27">
        <v>46001</v>
      </c>
      <c r="C529" s="95">
        <v>457540.05</v>
      </c>
      <c r="D529" s="210">
        <v>0</v>
      </c>
      <c r="E529" s="209">
        <f t="shared" si="66"/>
        <v>457540.05</v>
      </c>
      <c r="F529" s="28">
        <v>39157</v>
      </c>
      <c r="G529" s="28">
        <f t="shared" si="67"/>
        <v>11.68475751462063</v>
      </c>
      <c r="H529" s="65">
        <f t="shared" si="70"/>
        <v>2.7022377478320703E-3</v>
      </c>
      <c r="I529" s="72">
        <f t="shared" si="68"/>
        <v>0.10153006011160248</v>
      </c>
      <c r="J529" s="207">
        <v>187.13</v>
      </c>
      <c r="K529" s="65">
        <f t="shared" si="71"/>
        <v>6.7247686679579033E-3</v>
      </c>
      <c r="L529" s="72">
        <f t="shared" si="69"/>
        <v>0.2034083601286174</v>
      </c>
    </row>
    <row r="530" spans="1:12" ht="15.75" hidden="1" thickBot="1" x14ac:dyDescent="0.3">
      <c r="A530">
        <v>4</v>
      </c>
      <c r="B530" s="27">
        <v>46002</v>
      </c>
      <c r="C530" s="95">
        <v>458303.52</v>
      </c>
      <c r="D530" s="210">
        <v>0</v>
      </c>
      <c r="E530" s="209">
        <f t="shared" si="66"/>
        <v>458303.52</v>
      </c>
      <c r="F530" s="28">
        <v>39157</v>
      </c>
      <c r="G530" s="28">
        <f t="shared" si="67"/>
        <v>11.704255177873689</v>
      </c>
      <c r="H530" s="65">
        <f t="shared" si="70"/>
        <v>1.6686408107882134E-3</v>
      </c>
      <c r="I530" s="72">
        <f t="shared" si="68"/>
        <v>0.10336811812421454</v>
      </c>
      <c r="J530" s="207">
        <v>187.85</v>
      </c>
      <c r="K530" s="65">
        <f t="shared" si="71"/>
        <v>3.847592582696624E-3</v>
      </c>
      <c r="L530" s="72">
        <f t="shared" si="69"/>
        <v>0.2080385852090032</v>
      </c>
    </row>
    <row r="531" spans="1:12" ht="15.75" hidden="1" thickBot="1" x14ac:dyDescent="0.3">
      <c r="A531">
        <v>4</v>
      </c>
      <c r="B531" s="27">
        <v>46003</v>
      </c>
      <c r="C531" s="95">
        <v>454042.47000000009</v>
      </c>
      <c r="D531" s="210">
        <v>0</v>
      </c>
      <c r="E531" s="209">
        <f t="shared" si="66"/>
        <v>454042.47000000009</v>
      </c>
      <c r="F531" s="28">
        <v>39157</v>
      </c>
      <c r="G531" s="28">
        <f t="shared" si="67"/>
        <v>11.595435554307024</v>
      </c>
      <c r="H531" s="65">
        <f t="shared" si="70"/>
        <v>-9.2974411368255128E-3</v>
      </c>
      <c r="I531" s="72">
        <f t="shared" si="68"/>
        <v>9.3109617993704763E-2</v>
      </c>
      <c r="J531" s="207">
        <v>186.09</v>
      </c>
      <c r="K531" s="65">
        <f t="shared" si="71"/>
        <v>-9.3691775352674478E-3</v>
      </c>
      <c r="L531" s="72">
        <f t="shared" si="69"/>
        <v>0.19672025723472664</v>
      </c>
    </row>
    <row r="532" spans="1:12" ht="15.75" hidden="1" thickBot="1" x14ac:dyDescent="0.3">
      <c r="A532">
        <v>4</v>
      </c>
      <c r="B532" s="27">
        <v>46004</v>
      </c>
      <c r="C532" s="95">
        <v>454042.47000000009</v>
      </c>
      <c r="D532" s="210">
        <v>0</v>
      </c>
      <c r="E532" s="209">
        <f t="shared" si="66"/>
        <v>454042.47000000009</v>
      </c>
      <c r="F532" s="28">
        <v>39157</v>
      </c>
      <c r="G532" s="28">
        <f t="shared" si="67"/>
        <v>11.595435554307024</v>
      </c>
      <c r="H532" s="65">
        <f t="shared" si="70"/>
        <v>0</v>
      </c>
      <c r="I532" s="72">
        <f t="shared" si="68"/>
        <v>9.3109617993704763E-2</v>
      </c>
      <c r="J532" s="207">
        <v>186.09</v>
      </c>
      <c r="K532" s="65">
        <f t="shared" si="71"/>
        <v>0</v>
      </c>
      <c r="L532" s="72">
        <f t="shared" si="69"/>
        <v>0.19672025723472664</v>
      </c>
    </row>
    <row r="533" spans="1:12" ht="15.75" hidden="1" thickBot="1" x14ac:dyDescent="0.3">
      <c r="A533">
        <v>4</v>
      </c>
      <c r="B533" s="27">
        <v>46005</v>
      </c>
      <c r="C533" s="95">
        <v>454042.47000000009</v>
      </c>
      <c r="D533" s="210">
        <v>0</v>
      </c>
      <c r="E533" s="209">
        <f t="shared" si="66"/>
        <v>454042.47000000009</v>
      </c>
      <c r="F533" s="28">
        <v>39157</v>
      </c>
      <c r="G533" s="28">
        <f t="shared" si="67"/>
        <v>11.595435554307024</v>
      </c>
      <c r="H533" s="65">
        <f t="shared" si="70"/>
        <v>0</v>
      </c>
      <c r="I533" s="72">
        <f t="shared" si="68"/>
        <v>9.3109617993704763E-2</v>
      </c>
      <c r="J533" s="207">
        <v>186.09</v>
      </c>
      <c r="K533" s="65">
        <f t="shared" si="71"/>
        <v>0</v>
      </c>
      <c r="L533" s="72">
        <f t="shared" si="69"/>
        <v>0.19672025723472664</v>
      </c>
    </row>
    <row r="534" spans="1:12" ht="15.75" hidden="1" thickBot="1" x14ac:dyDescent="0.3">
      <c r="A534">
        <v>4</v>
      </c>
      <c r="B534" s="27">
        <v>46006</v>
      </c>
      <c r="C534" s="95">
        <v>452111.9</v>
      </c>
      <c r="D534" s="210">
        <v>0</v>
      </c>
      <c r="E534" s="209">
        <f t="shared" si="66"/>
        <v>452111.9</v>
      </c>
      <c r="F534" s="28">
        <v>39157</v>
      </c>
      <c r="G534" s="28">
        <f t="shared" si="67"/>
        <v>11.546132236892511</v>
      </c>
      <c r="H534" s="65">
        <f t="shared" si="70"/>
        <v>-4.2519590733440804E-3</v>
      </c>
      <c r="I534" s="72">
        <f t="shared" si="68"/>
        <v>8.8461760635316633E-2</v>
      </c>
      <c r="J534" s="207">
        <v>186.26</v>
      </c>
      <c r="K534" s="65">
        <f t="shared" si="71"/>
        <v>9.1353646085212681E-4</v>
      </c>
      <c r="L534" s="72">
        <f t="shared" si="69"/>
        <v>0.19781350482315108</v>
      </c>
    </row>
    <row r="535" spans="1:12" ht="15.75" hidden="1" thickBot="1" x14ac:dyDescent="0.3">
      <c r="A535">
        <v>4</v>
      </c>
      <c r="B535" s="27">
        <v>46007</v>
      </c>
      <c r="C535" s="95">
        <v>451037</v>
      </c>
      <c r="D535" s="210">
        <v>0</v>
      </c>
      <c r="E535" s="209">
        <f t="shared" si="66"/>
        <v>451037</v>
      </c>
      <c r="F535" s="28">
        <v>39157</v>
      </c>
      <c r="G535" s="28">
        <f t="shared" si="67"/>
        <v>11.518681206425416</v>
      </c>
      <c r="H535" s="65">
        <f t="shared" si="70"/>
        <v>-2.377508753916957E-3</v>
      </c>
      <c r="I535" s="72">
        <f t="shared" si="68"/>
        <v>8.5873933271102487E-2</v>
      </c>
      <c r="J535" s="207">
        <v>184.19</v>
      </c>
      <c r="K535" s="65">
        <f t="shared" si="71"/>
        <v>-1.1113497261891925E-2</v>
      </c>
      <c r="L535" s="72">
        <f t="shared" si="69"/>
        <v>0.18450160771704183</v>
      </c>
    </row>
    <row r="536" spans="1:12" ht="15.75" hidden="1" thickBot="1" x14ac:dyDescent="0.3">
      <c r="A536">
        <v>4</v>
      </c>
      <c r="B536" s="27">
        <v>46008</v>
      </c>
      <c r="C536" s="95">
        <v>446652.42000000004</v>
      </c>
      <c r="D536" s="210">
        <v>0</v>
      </c>
      <c r="E536" s="209">
        <f t="shared" si="66"/>
        <v>446652.42000000004</v>
      </c>
      <c r="F536" s="28">
        <v>39157</v>
      </c>
      <c r="G536" s="28">
        <f t="shared" si="67"/>
        <v>11.406706846796231</v>
      </c>
      <c r="H536" s="65">
        <f t="shared" si="70"/>
        <v>-9.7211093546649696E-3</v>
      </c>
      <c r="I536" s="72">
        <f t="shared" si="68"/>
        <v>7.5318034020393831E-2</v>
      </c>
      <c r="J536" s="207">
        <v>182.29</v>
      </c>
      <c r="K536" s="65">
        <f t="shared" si="71"/>
        <v>-1.0315435148487984E-2</v>
      </c>
      <c r="L536" s="72">
        <f t="shared" si="69"/>
        <v>0.17228295819935679</v>
      </c>
    </row>
    <row r="537" spans="1:12" ht="15.75" hidden="1" thickBot="1" x14ac:dyDescent="0.3">
      <c r="A537">
        <v>4</v>
      </c>
      <c r="B537" s="27">
        <v>46009</v>
      </c>
      <c r="C537" s="95">
        <v>450052.45000000007</v>
      </c>
      <c r="D537" s="210">
        <v>0</v>
      </c>
      <c r="E537" s="209">
        <f t="shared" si="66"/>
        <v>450052.45000000007</v>
      </c>
      <c r="F537" s="28">
        <v>39157</v>
      </c>
      <c r="G537" s="28">
        <f t="shared" si="67"/>
        <v>11.493537553949487</v>
      </c>
      <c r="H537" s="65">
        <f t="shared" si="70"/>
        <v>7.6122502593851671E-3</v>
      </c>
      <c r="I537" s="72">
        <f t="shared" si="68"/>
        <v>8.3503624003787191E-2</v>
      </c>
      <c r="J537" s="207">
        <v>183.67</v>
      </c>
      <c r="K537" s="65">
        <f t="shared" si="71"/>
        <v>7.5703549289594108E-3</v>
      </c>
      <c r="L537" s="72">
        <f t="shared" si="69"/>
        <v>0.18115755627009644</v>
      </c>
    </row>
    <row r="538" spans="1:12" ht="15.75" hidden="1" thickBot="1" x14ac:dyDescent="0.3">
      <c r="A538">
        <v>4</v>
      </c>
      <c r="B538" s="27">
        <v>46010</v>
      </c>
      <c r="C538" s="95">
        <v>451915.07000000007</v>
      </c>
      <c r="D538" s="210">
        <v>0</v>
      </c>
      <c r="E538" s="209">
        <f t="shared" si="66"/>
        <v>451915.07000000007</v>
      </c>
      <c r="F538" s="28">
        <v>39157</v>
      </c>
      <c r="G538" s="28">
        <f t="shared" si="67"/>
        <v>11.541105549454761</v>
      </c>
      <c r="H538" s="65">
        <f t="shared" si="70"/>
        <v>4.1386731702048873E-3</v>
      </c>
      <c r="I538" s="72">
        <f t="shared" si="68"/>
        <v>8.7987891382271588E-2</v>
      </c>
      <c r="J538" s="207">
        <v>185.18</v>
      </c>
      <c r="K538" s="65">
        <f t="shared" si="71"/>
        <v>8.2212664016987347E-3</v>
      </c>
      <c r="L538" s="72">
        <f t="shared" si="69"/>
        <v>0.19086816720257249</v>
      </c>
    </row>
    <row r="539" spans="1:12" ht="15.75" hidden="1" thickBot="1" x14ac:dyDescent="0.3">
      <c r="A539">
        <v>4</v>
      </c>
      <c r="B539" s="27">
        <v>46011</v>
      </c>
      <c r="C539" s="95">
        <v>451915.07000000007</v>
      </c>
      <c r="D539" s="210">
        <v>0</v>
      </c>
      <c r="E539" s="209">
        <f t="shared" si="66"/>
        <v>451915.07000000007</v>
      </c>
      <c r="F539" s="28">
        <v>39157</v>
      </c>
      <c r="G539" s="28">
        <f t="shared" si="67"/>
        <v>11.541105549454761</v>
      </c>
      <c r="H539" s="65">
        <f t="shared" si="70"/>
        <v>0</v>
      </c>
      <c r="I539" s="72">
        <f t="shared" si="68"/>
        <v>8.7987891382271588E-2</v>
      </c>
      <c r="J539" s="207">
        <v>185.18</v>
      </c>
      <c r="K539" s="65">
        <f t="shared" si="71"/>
        <v>0</v>
      </c>
      <c r="L539" s="72">
        <f t="shared" si="69"/>
        <v>0.19086816720257249</v>
      </c>
    </row>
    <row r="540" spans="1:12" ht="15.75" hidden="1" thickBot="1" x14ac:dyDescent="0.3">
      <c r="A540">
        <v>4</v>
      </c>
      <c r="B540" s="27">
        <v>46012</v>
      </c>
      <c r="C540" s="95">
        <v>451915.07000000007</v>
      </c>
      <c r="D540" s="210">
        <v>0</v>
      </c>
      <c r="E540" s="209">
        <f t="shared" si="66"/>
        <v>451915.07000000007</v>
      </c>
      <c r="F540" s="28">
        <v>39157</v>
      </c>
      <c r="G540" s="28">
        <f t="shared" si="67"/>
        <v>11.541105549454761</v>
      </c>
      <c r="H540" s="65">
        <f t="shared" si="70"/>
        <v>0</v>
      </c>
      <c r="I540" s="72">
        <f t="shared" si="68"/>
        <v>8.7987891382271588E-2</v>
      </c>
      <c r="J540" s="207">
        <v>185.18</v>
      </c>
      <c r="K540" s="65">
        <f t="shared" si="71"/>
        <v>0</v>
      </c>
      <c r="L540" s="72">
        <f t="shared" si="69"/>
        <v>0.19086816720257249</v>
      </c>
    </row>
    <row r="541" spans="1:12" ht="15.75" hidden="1" thickBot="1" x14ac:dyDescent="0.3">
      <c r="A541">
        <v>4</v>
      </c>
      <c r="B541" s="27">
        <v>46013</v>
      </c>
      <c r="C541" s="95">
        <v>454476.57999999996</v>
      </c>
      <c r="D541" s="210">
        <v>0</v>
      </c>
      <c r="E541" s="209">
        <f t="shared" si="66"/>
        <v>454476.57999999996</v>
      </c>
      <c r="F541" s="28">
        <v>39157</v>
      </c>
      <c r="G541" s="28">
        <f t="shared" si="67"/>
        <v>11.606521950098321</v>
      </c>
      <c r="H541" s="65">
        <f t="shared" si="70"/>
        <v>5.668122552319188E-3</v>
      </c>
      <c r="I541" s="72">
        <f t="shared" si="68"/>
        <v>9.4154740086065614E-2</v>
      </c>
      <c r="J541" s="207">
        <v>186.29</v>
      </c>
      <c r="K541" s="65">
        <f t="shared" si="71"/>
        <v>5.9941678366992601E-3</v>
      </c>
      <c r="L541" s="72">
        <f t="shared" si="69"/>
        <v>0.19800643086816705</v>
      </c>
    </row>
    <row r="542" spans="1:12" ht="15.75" hidden="1" thickBot="1" x14ac:dyDescent="0.3">
      <c r="A542">
        <v>4</v>
      </c>
      <c r="B542" s="27">
        <v>46014</v>
      </c>
      <c r="C542" s="95">
        <v>455736.81500000006</v>
      </c>
      <c r="D542" s="210">
        <v>0</v>
      </c>
      <c r="E542" s="209">
        <f t="shared" si="66"/>
        <v>455736.81500000006</v>
      </c>
      <c r="F542" s="28">
        <v>39157</v>
      </c>
      <c r="G542" s="28">
        <f t="shared" si="67"/>
        <v>11.638706106187911</v>
      </c>
      <c r="H542" s="65">
        <f t="shared" si="70"/>
        <v>2.7729371665314861E-3</v>
      </c>
      <c r="I542" s="72">
        <f t="shared" si="68"/>
        <v>9.7188762430786779E-2</v>
      </c>
      <c r="J542" s="207">
        <v>187.21</v>
      </c>
      <c r="K542" s="65">
        <f t="shared" si="71"/>
        <v>4.9385366901069094E-3</v>
      </c>
      <c r="L542" s="72">
        <f t="shared" si="69"/>
        <v>0.2039228295819937</v>
      </c>
    </row>
    <row r="543" spans="1:12" ht="15.75" hidden="1" thickBot="1" x14ac:dyDescent="0.3">
      <c r="A543">
        <v>4</v>
      </c>
      <c r="B543" s="27">
        <v>46015</v>
      </c>
      <c r="C543" s="95">
        <v>456683.94000000006</v>
      </c>
      <c r="D543" s="210">
        <v>0</v>
      </c>
      <c r="E543" s="209">
        <f t="shared" si="66"/>
        <v>456683.94000000006</v>
      </c>
      <c r="F543" s="28">
        <v>39157</v>
      </c>
      <c r="G543" s="28">
        <f t="shared" si="67"/>
        <v>11.66289399085732</v>
      </c>
      <c r="H543" s="65">
        <f t="shared" si="70"/>
        <v>2.0782279790148017E-3</v>
      </c>
      <c r="I543" s="72">
        <f t="shared" si="68"/>
        <v>9.9468970815130842E-2</v>
      </c>
      <c r="J543" s="207">
        <v>187.81</v>
      </c>
      <c r="K543" s="65">
        <f t="shared" si="71"/>
        <v>3.2049570001602135E-3</v>
      </c>
      <c r="L543" s="72">
        <f t="shared" si="69"/>
        <v>0.20778135048231516</v>
      </c>
    </row>
    <row r="544" spans="1:12" ht="15.75" hidden="1" thickBot="1" x14ac:dyDescent="0.3">
      <c r="A544">
        <v>4</v>
      </c>
      <c r="B544" s="27">
        <v>46016</v>
      </c>
      <c r="C544" s="95">
        <v>456683.94000000006</v>
      </c>
      <c r="D544" s="210">
        <v>0</v>
      </c>
      <c r="E544" s="209">
        <f t="shared" si="66"/>
        <v>456683.94000000006</v>
      </c>
      <c r="F544" s="28">
        <v>39157</v>
      </c>
      <c r="G544" s="28">
        <f t="shared" si="67"/>
        <v>11.66289399085732</v>
      </c>
      <c r="H544" s="65">
        <f t="shared" si="70"/>
        <v>0</v>
      </c>
      <c r="I544" s="72">
        <f t="shared" si="68"/>
        <v>9.9468970815130842E-2</v>
      </c>
      <c r="J544" s="207">
        <v>187.81</v>
      </c>
      <c r="K544" s="65">
        <f t="shared" si="71"/>
        <v>0</v>
      </c>
      <c r="L544" s="72">
        <f t="shared" si="69"/>
        <v>0.20778135048231516</v>
      </c>
    </row>
    <row r="545" spans="1:14" ht="15.75" hidden="1" thickBot="1" x14ac:dyDescent="0.3">
      <c r="A545">
        <v>4</v>
      </c>
      <c r="B545" s="27">
        <v>46017</v>
      </c>
      <c r="C545" s="95">
        <v>456683.94000000006</v>
      </c>
      <c r="D545" s="210">
        <v>0</v>
      </c>
      <c r="E545" s="209">
        <f t="shared" si="66"/>
        <v>456683.94000000006</v>
      </c>
      <c r="F545" s="28">
        <v>39157</v>
      </c>
      <c r="G545" s="28">
        <f t="shared" si="67"/>
        <v>11.66289399085732</v>
      </c>
      <c r="H545" s="65">
        <f t="shared" si="70"/>
        <v>0</v>
      </c>
      <c r="I545" s="72">
        <f t="shared" si="68"/>
        <v>9.9468970815130842E-2</v>
      </c>
      <c r="J545" s="207">
        <v>187.81</v>
      </c>
      <c r="K545" s="65">
        <f t="shared" si="71"/>
        <v>0</v>
      </c>
      <c r="L545" s="72">
        <f t="shared" si="69"/>
        <v>0.20778135048231516</v>
      </c>
    </row>
    <row r="546" spans="1:14" ht="15.75" hidden="1" thickBot="1" x14ac:dyDescent="0.3">
      <c r="A546">
        <v>4</v>
      </c>
      <c r="B546" s="27">
        <v>46018</v>
      </c>
      <c r="C546" s="95">
        <v>456683.94000000006</v>
      </c>
      <c r="D546" s="210">
        <v>0</v>
      </c>
      <c r="E546" s="209">
        <f t="shared" si="66"/>
        <v>456683.94000000006</v>
      </c>
      <c r="F546" s="28">
        <v>39157</v>
      </c>
      <c r="G546" s="28">
        <f t="shared" si="67"/>
        <v>11.66289399085732</v>
      </c>
      <c r="H546" s="65">
        <f t="shared" si="70"/>
        <v>0</v>
      </c>
      <c r="I546" s="72">
        <f t="shared" si="68"/>
        <v>9.9468970815130842E-2</v>
      </c>
      <c r="J546" s="207">
        <v>187.81</v>
      </c>
      <c r="K546" s="65">
        <f t="shared" si="71"/>
        <v>0</v>
      </c>
      <c r="L546" s="72">
        <f t="shared" si="69"/>
        <v>0.20778135048231516</v>
      </c>
    </row>
    <row r="547" spans="1:14" ht="15.75" hidden="1" thickBot="1" x14ac:dyDescent="0.3">
      <c r="A547">
        <v>4</v>
      </c>
      <c r="B547" s="27">
        <v>46019</v>
      </c>
      <c r="C547" s="95">
        <v>456683.94000000006</v>
      </c>
      <c r="D547" s="210">
        <v>0</v>
      </c>
      <c r="E547" s="209">
        <f t="shared" si="66"/>
        <v>456683.94000000006</v>
      </c>
      <c r="F547" s="28">
        <v>39157</v>
      </c>
      <c r="G547" s="28">
        <f t="shared" si="67"/>
        <v>11.66289399085732</v>
      </c>
      <c r="H547" s="65">
        <f t="shared" si="70"/>
        <v>0</v>
      </c>
      <c r="I547" s="72">
        <f t="shared" si="68"/>
        <v>9.9468970815130842E-2</v>
      </c>
      <c r="J547" s="207">
        <v>187.81</v>
      </c>
      <c r="K547" s="65">
        <f t="shared" si="71"/>
        <v>0</v>
      </c>
      <c r="L547" s="72">
        <f t="shared" si="69"/>
        <v>0.20778135048231516</v>
      </c>
    </row>
    <row r="548" spans="1:14" ht="15.75" hidden="1" thickBot="1" x14ac:dyDescent="0.3">
      <c r="A548">
        <v>4</v>
      </c>
      <c r="B548" s="27">
        <v>46020</v>
      </c>
      <c r="C548" s="95">
        <v>455638.34000000008</v>
      </c>
      <c r="D548" s="210">
        <v>0</v>
      </c>
      <c r="E548" s="209">
        <f t="shared" si="66"/>
        <v>455638.34000000008</v>
      </c>
      <c r="F548" s="28">
        <v>39157</v>
      </c>
      <c r="G548" s="28">
        <f t="shared" si="67"/>
        <v>11.63619123017596</v>
      </c>
      <c r="H548" s="65">
        <f t="shared" si="70"/>
        <v>-2.2895484347446038E-3</v>
      </c>
      <c r="I548" s="72">
        <f t="shared" si="68"/>
        <v>9.6951683353950768E-2</v>
      </c>
      <c r="J548" s="207">
        <v>187.1</v>
      </c>
      <c r="K548" s="65">
        <f t="shared" si="71"/>
        <v>-3.7804163782546585E-3</v>
      </c>
      <c r="L548" s="72">
        <f t="shared" si="69"/>
        <v>0.20321543408360121</v>
      </c>
    </row>
    <row r="549" spans="1:14" ht="15.75" hidden="1" thickBot="1" x14ac:dyDescent="0.3">
      <c r="A549">
        <v>4</v>
      </c>
      <c r="B549" s="27">
        <v>46021</v>
      </c>
      <c r="C549" s="95">
        <v>455327.70000000007</v>
      </c>
      <c r="D549" s="210">
        <v>0</v>
      </c>
      <c r="E549" s="209">
        <f t="shared" si="66"/>
        <v>455327.70000000007</v>
      </c>
      <c r="F549" s="28">
        <v>39157</v>
      </c>
      <c r="G549" s="28">
        <f t="shared" si="67"/>
        <v>11.628258038154099</v>
      </c>
      <c r="H549" s="65">
        <f t="shared" si="70"/>
        <v>-6.8176879057191275E-4</v>
      </c>
      <c r="I549" s="72">
        <f t="shared" si="68"/>
        <v>9.6203815931474645E-2</v>
      </c>
      <c r="J549" s="207">
        <v>187.01</v>
      </c>
      <c r="K549" s="65">
        <f t="shared" si="71"/>
        <v>-4.8102618920364826E-4</v>
      </c>
      <c r="L549" s="72">
        <f t="shared" si="69"/>
        <v>0.20263665594855307</v>
      </c>
    </row>
    <row r="550" spans="1:14" ht="15.75" hidden="1" thickBot="1" x14ac:dyDescent="0.3">
      <c r="A550">
        <v>4</v>
      </c>
      <c r="B550" s="27">
        <v>46022</v>
      </c>
      <c r="C550" s="95">
        <v>452440.62</v>
      </c>
      <c r="D550" s="210">
        <v>0</v>
      </c>
      <c r="E550" s="209">
        <f t="shared" si="66"/>
        <v>452440.62</v>
      </c>
      <c r="F550" s="28">
        <v>39157</v>
      </c>
      <c r="G550" s="28">
        <f t="shared" si="67"/>
        <v>11.554527159894782</v>
      </c>
      <c r="H550" s="65">
        <f t="shared" si="70"/>
        <v>-6.3406640975282036E-3</v>
      </c>
      <c r="I550" s="72">
        <f t="shared" si="68"/>
        <v>8.92531557522247E-2</v>
      </c>
      <c r="J550" s="207">
        <v>185.77</v>
      </c>
      <c r="K550" s="65">
        <f t="shared" si="71"/>
        <v>-6.6306614619537907E-3</v>
      </c>
      <c r="L550" s="72">
        <f t="shared" si="69"/>
        <v>0.19466237942122189</v>
      </c>
    </row>
    <row r="551" spans="1:14" ht="15.75" thickBot="1" x14ac:dyDescent="0.3">
      <c r="A551" s="35" t="s">
        <v>84</v>
      </c>
      <c r="B551" s="35" t="s">
        <v>3</v>
      </c>
      <c r="C551" s="36" t="s">
        <v>85</v>
      </c>
      <c r="D551" s="37" t="s">
        <v>86</v>
      </c>
      <c r="E551" s="37" t="s">
        <v>87</v>
      </c>
      <c r="F551" s="37" t="s">
        <v>88</v>
      </c>
      <c r="G551" s="38" t="s">
        <v>89</v>
      </c>
      <c r="H551" s="158" t="s">
        <v>90</v>
      </c>
      <c r="I551" s="158" t="s">
        <v>7</v>
      </c>
      <c r="J551" s="158" t="s">
        <v>91</v>
      </c>
      <c r="K551" s="158" t="s">
        <v>92</v>
      </c>
      <c r="L551" s="158" t="s">
        <v>93</v>
      </c>
    </row>
    <row r="552" spans="1:14" x14ac:dyDescent="0.25">
      <c r="A552">
        <v>1</v>
      </c>
      <c r="B552" s="27">
        <v>46023</v>
      </c>
      <c r="C552" s="95">
        <v>452440.62</v>
      </c>
      <c r="D552" s="230">
        <v>0</v>
      </c>
      <c r="E552" s="95">
        <v>452440.62</v>
      </c>
      <c r="F552" s="236">
        <v>39157</v>
      </c>
      <c r="G552" s="95">
        <f t="shared" ref="G552:G583" si="72">E552/F552</f>
        <v>11.554527159894782</v>
      </c>
      <c r="H552" s="65">
        <f>G552/G550-1</f>
        <v>0</v>
      </c>
      <c r="I552" s="72">
        <f t="shared" ref="I552:I583" si="73">G552/$G$552-1</f>
        <v>0</v>
      </c>
      <c r="J552">
        <v>185.77</v>
      </c>
      <c r="K552" s="229">
        <f>J552/J550-1</f>
        <v>0</v>
      </c>
      <c r="L552" s="229">
        <f t="shared" ref="L552:L583" si="74">J552/$J$552-1</f>
        <v>0</v>
      </c>
      <c r="M552" s="98"/>
      <c r="N552" s="98"/>
    </row>
    <row r="553" spans="1:14" x14ac:dyDescent="0.25">
      <c r="A553">
        <v>1</v>
      </c>
      <c r="B553" s="27">
        <v>46024</v>
      </c>
      <c r="C553" s="95">
        <v>453784</v>
      </c>
      <c r="D553" s="230">
        <v>0</v>
      </c>
      <c r="E553" s="95">
        <f t="shared" ref="E553:E584" si="75">C553-D553</f>
        <v>453784</v>
      </c>
      <c r="F553" s="236">
        <v>39157</v>
      </c>
      <c r="G553" s="95">
        <f t="shared" si="72"/>
        <v>11.588834691115254</v>
      </c>
      <c r="H553" s="65">
        <f t="shared" ref="H553:H584" si="76">G553/G552-1</f>
        <v>2.9691852159516863E-3</v>
      </c>
      <c r="I553" s="72">
        <f t="shared" si="73"/>
        <v>2.9691852159516863E-3</v>
      </c>
      <c r="J553" s="207">
        <v>186.51</v>
      </c>
      <c r="K553" s="229">
        <f t="shared" ref="K553:K584" si="77">J553/J552-1</f>
        <v>3.9834203585076278E-3</v>
      </c>
      <c r="L553" s="229">
        <f t="shared" si="74"/>
        <v>3.9834203585076278E-3</v>
      </c>
      <c r="M553" s="98"/>
      <c r="N553" s="98"/>
    </row>
    <row r="554" spans="1:14" x14ac:dyDescent="0.25">
      <c r="A554">
        <v>1</v>
      </c>
      <c r="B554" s="27">
        <v>46025</v>
      </c>
      <c r="C554" s="95">
        <v>453784</v>
      </c>
      <c r="D554" s="230">
        <v>0</v>
      </c>
      <c r="E554" s="95">
        <f t="shared" si="75"/>
        <v>453784</v>
      </c>
      <c r="F554" s="236">
        <v>39157</v>
      </c>
      <c r="G554" s="95">
        <f t="shared" si="72"/>
        <v>11.588834691115254</v>
      </c>
      <c r="H554" s="65">
        <f t="shared" si="76"/>
        <v>0</v>
      </c>
      <c r="I554" s="72">
        <f t="shared" si="73"/>
        <v>2.9691852159516863E-3</v>
      </c>
      <c r="J554" s="207">
        <v>186.51</v>
      </c>
      <c r="K554" s="229">
        <f t="shared" si="77"/>
        <v>0</v>
      </c>
      <c r="L554" s="229">
        <f t="shared" si="74"/>
        <v>3.9834203585076278E-3</v>
      </c>
      <c r="M554" s="98"/>
      <c r="N554" s="98"/>
    </row>
    <row r="555" spans="1:14" x14ac:dyDescent="0.25">
      <c r="A555">
        <v>1</v>
      </c>
      <c r="B555" s="27">
        <v>46026</v>
      </c>
      <c r="C555" s="95">
        <v>453784</v>
      </c>
      <c r="D555" s="230">
        <v>0</v>
      </c>
      <c r="E555" s="95">
        <f t="shared" si="75"/>
        <v>453784</v>
      </c>
      <c r="F555" s="236">
        <v>39157</v>
      </c>
      <c r="G555" s="95">
        <f t="shared" si="72"/>
        <v>11.588834691115254</v>
      </c>
      <c r="H555" s="65">
        <f t="shared" si="76"/>
        <v>0</v>
      </c>
      <c r="I555" s="72">
        <f t="shared" si="73"/>
        <v>2.9691852159516863E-3</v>
      </c>
      <c r="J555" s="207">
        <v>186.51</v>
      </c>
      <c r="K555" s="229">
        <f t="shared" si="77"/>
        <v>0</v>
      </c>
      <c r="L555" s="229">
        <f t="shared" si="74"/>
        <v>3.9834203585076278E-3</v>
      </c>
      <c r="M555" s="98"/>
      <c r="N555" s="98"/>
    </row>
    <row r="556" spans="1:14" x14ac:dyDescent="0.25">
      <c r="A556">
        <v>1</v>
      </c>
      <c r="B556" s="27">
        <v>46027</v>
      </c>
      <c r="C556" s="95">
        <v>457265.91999999998</v>
      </c>
      <c r="D556" s="230">
        <v>0</v>
      </c>
      <c r="E556" s="95">
        <f t="shared" si="75"/>
        <v>457265.91999999998</v>
      </c>
      <c r="F556" s="236">
        <v>39157</v>
      </c>
      <c r="G556" s="95">
        <f>E556/F556</f>
        <v>11.677756722935873</v>
      </c>
      <c r="H556" s="65">
        <f t="shared" si="76"/>
        <v>7.6730779401652516E-3</v>
      </c>
      <c r="I556" s="72">
        <f t="shared" si="73"/>
        <v>1.0665045945697837E-2</v>
      </c>
      <c r="J556" s="207">
        <v>188.01</v>
      </c>
      <c r="K556" s="229">
        <f t="shared" si="77"/>
        <v>8.0424642110341615E-3</v>
      </c>
      <c r="L556" s="229">
        <f t="shared" si="74"/>
        <v>1.2057921085212753E-2</v>
      </c>
      <c r="M556" s="98"/>
      <c r="N556" s="98"/>
    </row>
    <row r="557" spans="1:14" x14ac:dyDescent="0.25">
      <c r="A557">
        <v>1</v>
      </c>
      <c r="B557" s="27">
        <v>46028</v>
      </c>
      <c r="C557" s="95">
        <v>461337.83</v>
      </c>
      <c r="D557" s="230">
        <v>0</v>
      </c>
      <c r="E557" s="95">
        <f t="shared" si="75"/>
        <v>461337.83</v>
      </c>
      <c r="F557" s="236">
        <v>39157</v>
      </c>
      <c r="G557" s="95">
        <f t="shared" si="72"/>
        <v>11.781746047960773</v>
      </c>
      <c r="H557" s="65">
        <f t="shared" si="76"/>
        <v>8.9049059243251349E-3</v>
      </c>
      <c r="I557" s="72">
        <f t="shared" si="73"/>
        <v>1.9664923100848108E-2</v>
      </c>
      <c r="J557" s="207">
        <v>188.98</v>
      </c>
      <c r="K557" s="229">
        <f t="shared" si="77"/>
        <v>5.1593000372320841E-3</v>
      </c>
      <c r="L557" s="229">
        <f t="shared" si="74"/>
        <v>1.7279431555148772E-2</v>
      </c>
      <c r="M557" s="98"/>
      <c r="N557" s="98"/>
    </row>
    <row r="558" spans="1:14" x14ac:dyDescent="0.25">
      <c r="A558">
        <v>1</v>
      </c>
      <c r="B558" s="27">
        <v>46029</v>
      </c>
      <c r="C558" s="95">
        <v>459040.37000000005</v>
      </c>
      <c r="D558" s="230">
        <v>0</v>
      </c>
      <c r="E558" s="95">
        <f t="shared" si="75"/>
        <v>459040.37000000005</v>
      </c>
      <c r="F558" s="236">
        <v>39157</v>
      </c>
      <c r="G558" s="95">
        <f t="shared" si="72"/>
        <v>11.7230730137651</v>
      </c>
      <c r="H558" s="65">
        <f t="shared" si="76"/>
        <v>-4.9799948120446969E-3</v>
      </c>
      <c r="I558" s="72">
        <f t="shared" si="73"/>
        <v>1.4586997073781971E-2</v>
      </c>
      <c r="J558" s="207">
        <v>188.22</v>
      </c>
      <c r="K558" s="229">
        <f t="shared" si="77"/>
        <v>-4.021589586199581E-3</v>
      </c>
      <c r="L558" s="229">
        <f t="shared" si="74"/>
        <v>1.3188351186951497E-2</v>
      </c>
      <c r="M558" s="98"/>
      <c r="N558" s="98"/>
    </row>
    <row r="559" spans="1:14" x14ac:dyDescent="0.25">
      <c r="A559">
        <v>1</v>
      </c>
      <c r="B559" s="27">
        <v>46030</v>
      </c>
      <c r="C559" s="95">
        <v>459407.46</v>
      </c>
      <c r="D559" s="230">
        <v>0</v>
      </c>
      <c r="E559" s="95">
        <f t="shared" si="75"/>
        <v>459407.46</v>
      </c>
      <c r="F559" s="236">
        <v>39157</v>
      </c>
      <c r="G559" s="95">
        <f t="shared" si="72"/>
        <v>11.732447838189852</v>
      </c>
      <c r="H559" s="65">
        <f t="shared" si="76"/>
        <v>7.9969001419200048E-4</v>
      </c>
      <c r="I559" s="72">
        <f t="shared" si="73"/>
        <v>1.5398352163870754E-2</v>
      </c>
      <c r="J559" s="207">
        <v>188.24</v>
      </c>
      <c r="K559" s="229">
        <f t="shared" si="77"/>
        <v>1.0625863351410025E-4</v>
      </c>
      <c r="L559" s="229">
        <f t="shared" si="74"/>
        <v>1.3296011196640922E-2</v>
      </c>
      <c r="M559" s="98"/>
      <c r="N559" s="98"/>
    </row>
    <row r="560" spans="1:14" x14ac:dyDescent="0.25">
      <c r="A560">
        <v>1</v>
      </c>
      <c r="B560" s="27">
        <v>46031</v>
      </c>
      <c r="C560" s="95">
        <v>461799.72000000009</v>
      </c>
      <c r="D560" s="230">
        <v>0</v>
      </c>
      <c r="E560" s="95">
        <f t="shared" si="75"/>
        <v>461799.72000000009</v>
      </c>
      <c r="F560" s="236">
        <v>39157</v>
      </c>
      <c r="G560" s="95">
        <f t="shared" si="72"/>
        <v>11.793541895446538</v>
      </c>
      <c r="H560" s="65">
        <f t="shared" si="76"/>
        <v>5.2072728640497612E-3</v>
      </c>
      <c r="I560" s="72">
        <f t="shared" si="73"/>
        <v>2.0685808449294685E-2</v>
      </c>
      <c r="J560" s="207">
        <v>189.53</v>
      </c>
      <c r="K560" s="229">
        <f t="shared" si="77"/>
        <v>6.8529536761581245E-3</v>
      </c>
      <c r="L560" s="229">
        <f t="shared" si="74"/>
        <v>2.0240081821607303E-2</v>
      </c>
      <c r="M560" s="98"/>
      <c r="N560" s="98"/>
    </row>
    <row r="561" spans="1:14" x14ac:dyDescent="0.25">
      <c r="A561">
        <v>1</v>
      </c>
      <c r="B561" s="27">
        <v>46032</v>
      </c>
      <c r="C561" s="95">
        <v>461799.72000000009</v>
      </c>
      <c r="D561" s="230">
        <v>0</v>
      </c>
      <c r="E561" s="95">
        <f t="shared" si="75"/>
        <v>461799.72000000009</v>
      </c>
      <c r="F561" s="236">
        <v>39157</v>
      </c>
      <c r="G561" s="95">
        <f t="shared" si="72"/>
        <v>11.793541895446538</v>
      </c>
      <c r="H561" s="65">
        <f t="shared" si="76"/>
        <v>0</v>
      </c>
      <c r="I561" s="72">
        <f t="shared" si="73"/>
        <v>2.0685808449294685E-2</v>
      </c>
      <c r="J561" s="207">
        <v>189.53</v>
      </c>
      <c r="K561" s="229">
        <f t="shared" si="77"/>
        <v>0</v>
      </c>
      <c r="L561" s="229">
        <f t="shared" si="74"/>
        <v>2.0240081821607303E-2</v>
      </c>
      <c r="M561" s="98"/>
      <c r="N561" s="98"/>
    </row>
    <row r="562" spans="1:14" x14ac:dyDescent="0.25">
      <c r="A562">
        <v>1</v>
      </c>
      <c r="B562" s="27">
        <v>46033</v>
      </c>
      <c r="C562" s="95">
        <v>461799.72000000009</v>
      </c>
      <c r="D562" s="230">
        <v>0</v>
      </c>
      <c r="E562" s="95">
        <f t="shared" si="75"/>
        <v>461799.72000000009</v>
      </c>
      <c r="F562" s="236">
        <v>39157</v>
      </c>
      <c r="G562" s="95">
        <f t="shared" si="72"/>
        <v>11.793541895446538</v>
      </c>
      <c r="H562" s="65">
        <f t="shared" si="76"/>
        <v>0</v>
      </c>
      <c r="I562" s="72">
        <f t="shared" si="73"/>
        <v>2.0685808449294685E-2</v>
      </c>
      <c r="J562" s="207">
        <v>189.53</v>
      </c>
      <c r="K562" s="229">
        <f t="shared" si="77"/>
        <v>0</v>
      </c>
      <c r="L562" s="229">
        <f t="shared" si="74"/>
        <v>2.0240081821607303E-2</v>
      </c>
      <c r="M562" s="98"/>
      <c r="N562" s="98"/>
    </row>
    <row r="563" spans="1:14" x14ac:dyDescent="0.25">
      <c r="A563">
        <v>1</v>
      </c>
      <c r="B563" s="27">
        <v>46034</v>
      </c>
      <c r="C563" s="95">
        <v>461413.55000000005</v>
      </c>
      <c r="D563" s="230">
        <v>0</v>
      </c>
      <c r="E563" s="95">
        <f t="shared" si="75"/>
        <v>461413.55000000005</v>
      </c>
      <c r="F563" s="236">
        <v>39157</v>
      </c>
      <c r="G563" s="95">
        <f t="shared" si="72"/>
        <v>11.78367980182343</v>
      </c>
      <c r="H563" s="65">
        <f t="shared" si="76"/>
        <v>-8.3622831126883845E-4</v>
      </c>
      <c r="I563" s="72">
        <f t="shared" si="73"/>
        <v>1.9832282079359054E-2</v>
      </c>
      <c r="J563" s="207">
        <v>190.05</v>
      </c>
      <c r="K563" s="229">
        <f t="shared" si="77"/>
        <v>2.7436289769429134E-3</v>
      </c>
      <c r="L563" s="229">
        <f t="shared" si="74"/>
        <v>2.3039242073531696E-2</v>
      </c>
      <c r="M563" s="98"/>
      <c r="N563" s="98"/>
    </row>
    <row r="564" spans="1:14" x14ac:dyDescent="0.25">
      <c r="A564">
        <v>1</v>
      </c>
      <c r="B564" s="27">
        <v>46035</v>
      </c>
      <c r="C564" s="95">
        <v>460297.46</v>
      </c>
      <c r="D564" s="230">
        <v>0</v>
      </c>
      <c r="E564" s="95">
        <f t="shared" si="75"/>
        <v>460297.46</v>
      </c>
      <c r="F564" s="236">
        <v>39157</v>
      </c>
      <c r="G564" s="95">
        <f t="shared" si="72"/>
        <v>11.755176852159257</v>
      </c>
      <c r="H564" s="65">
        <f t="shared" si="76"/>
        <v>-2.4188496414984106E-3</v>
      </c>
      <c r="I564" s="72">
        <f t="shared" si="73"/>
        <v>1.7365461129462911E-2</v>
      </c>
      <c r="J564" s="207">
        <v>189.53</v>
      </c>
      <c r="K564" s="229">
        <f t="shared" si="77"/>
        <v>-2.7361220731386693E-3</v>
      </c>
      <c r="L564" s="229">
        <f t="shared" si="74"/>
        <v>2.0240081821607303E-2</v>
      </c>
      <c r="M564" s="98"/>
      <c r="N564" s="98"/>
    </row>
    <row r="565" spans="1:14" x14ac:dyDescent="0.25">
      <c r="A565">
        <v>1</v>
      </c>
      <c r="B565" s="27">
        <v>46036</v>
      </c>
      <c r="C565" s="95">
        <v>458171.33499999996</v>
      </c>
      <c r="D565" s="230">
        <v>0</v>
      </c>
      <c r="E565" s="95">
        <f t="shared" si="75"/>
        <v>458171.33499999996</v>
      </c>
      <c r="F565" s="236">
        <v>39157</v>
      </c>
      <c r="G565" s="95">
        <f t="shared" si="72"/>
        <v>11.700879408534872</v>
      </c>
      <c r="H565" s="65">
        <f t="shared" si="76"/>
        <v>-4.6190239676753286E-3</v>
      </c>
      <c r="I565" s="72">
        <f t="shared" si="73"/>
        <v>1.2666225680620924E-2</v>
      </c>
      <c r="J565" s="207">
        <v>188.93</v>
      </c>
      <c r="K565" s="229">
        <f t="shared" si="77"/>
        <v>-3.1657257426264129E-3</v>
      </c>
      <c r="L565" s="229">
        <f t="shared" si="74"/>
        <v>1.7010281530925209E-2</v>
      </c>
      <c r="M565" s="98"/>
      <c r="N565" s="98"/>
    </row>
    <row r="566" spans="1:14" x14ac:dyDescent="0.25">
      <c r="A566">
        <v>1</v>
      </c>
      <c r="B566" s="27">
        <v>46037</v>
      </c>
      <c r="C566" s="95">
        <v>459964.18999999989</v>
      </c>
      <c r="D566" s="230">
        <v>0</v>
      </c>
      <c r="E566" s="95">
        <f t="shared" si="75"/>
        <v>459964.18999999989</v>
      </c>
      <c r="F566" s="236">
        <v>39157</v>
      </c>
      <c r="G566" s="95">
        <f t="shared" si="72"/>
        <v>11.74666573026534</v>
      </c>
      <c r="H566" s="65">
        <f t="shared" si="76"/>
        <v>3.9130667133506769E-3</v>
      </c>
      <c r="I566" s="72">
        <f t="shared" si="73"/>
        <v>1.6628856180066043E-2</v>
      </c>
      <c r="J566" s="207">
        <v>189.25</v>
      </c>
      <c r="K566" s="229">
        <f t="shared" si="77"/>
        <v>1.6937490075688011E-3</v>
      </c>
      <c r="L566" s="229">
        <f t="shared" si="74"/>
        <v>1.8732841685955792E-2</v>
      </c>
      <c r="M566" s="98"/>
      <c r="N566" s="98"/>
    </row>
    <row r="567" spans="1:14" x14ac:dyDescent="0.25">
      <c r="A567">
        <v>1</v>
      </c>
      <c r="B567" s="27">
        <v>46038</v>
      </c>
      <c r="C567" s="95">
        <v>459788.79999999999</v>
      </c>
      <c r="D567" s="230">
        <v>0</v>
      </c>
      <c r="E567" s="95">
        <f t="shared" si="75"/>
        <v>459788.79999999999</v>
      </c>
      <c r="F567" s="236">
        <v>39157</v>
      </c>
      <c r="G567" s="95">
        <f t="shared" si="72"/>
        <v>11.742186582220292</v>
      </c>
      <c r="H567" s="65">
        <f t="shared" si="76"/>
        <v>-3.8131229302862391E-4</v>
      </c>
      <c r="I567" s="72">
        <f t="shared" si="73"/>
        <v>1.6241203099756962E-2</v>
      </c>
      <c r="J567" s="207">
        <v>189.21</v>
      </c>
      <c r="K567" s="229">
        <f t="shared" si="77"/>
        <v>-2.1136063408189187E-4</v>
      </c>
      <c r="L567" s="229">
        <f t="shared" si="74"/>
        <v>1.8517521666576942E-2</v>
      </c>
      <c r="M567" s="98"/>
      <c r="N567" s="98"/>
    </row>
    <row r="568" spans="1:14" x14ac:dyDescent="0.25">
      <c r="A568">
        <v>1</v>
      </c>
      <c r="B568" s="27">
        <v>46039</v>
      </c>
      <c r="C568" s="95">
        <v>459788.79999999999</v>
      </c>
      <c r="D568" s="230">
        <v>0</v>
      </c>
      <c r="E568" s="95">
        <f t="shared" si="75"/>
        <v>459788.79999999999</v>
      </c>
      <c r="F568" s="236">
        <v>39157</v>
      </c>
      <c r="G568" s="95">
        <f t="shared" si="72"/>
        <v>11.742186582220292</v>
      </c>
      <c r="H568" s="65">
        <f t="shared" si="76"/>
        <v>0</v>
      </c>
      <c r="I568" s="72">
        <f t="shared" si="73"/>
        <v>1.6241203099756962E-2</v>
      </c>
      <c r="J568" s="207">
        <v>189.21</v>
      </c>
      <c r="K568" s="229">
        <f t="shared" si="77"/>
        <v>0</v>
      </c>
      <c r="L568" s="229">
        <f t="shared" si="74"/>
        <v>1.8517521666576942E-2</v>
      </c>
      <c r="M568" s="98"/>
      <c r="N568" s="98"/>
    </row>
    <row r="569" spans="1:14" x14ac:dyDescent="0.25">
      <c r="A569">
        <v>1</v>
      </c>
      <c r="B569" s="27">
        <v>46040</v>
      </c>
      <c r="C569" s="95">
        <v>459788.79999999999</v>
      </c>
      <c r="D569" s="230">
        <v>0</v>
      </c>
      <c r="E569" s="95">
        <f t="shared" si="75"/>
        <v>459788.79999999999</v>
      </c>
      <c r="F569" s="236">
        <v>39157</v>
      </c>
      <c r="G569" s="95">
        <f t="shared" si="72"/>
        <v>11.742186582220292</v>
      </c>
      <c r="H569" s="65">
        <f t="shared" si="76"/>
        <v>0</v>
      </c>
      <c r="I569" s="72">
        <f t="shared" si="73"/>
        <v>1.6241203099756962E-2</v>
      </c>
      <c r="J569" s="207">
        <v>189.21</v>
      </c>
      <c r="K569" s="229">
        <f t="shared" si="77"/>
        <v>0</v>
      </c>
      <c r="L569" s="229">
        <f t="shared" si="74"/>
        <v>1.8517521666576942E-2</v>
      </c>
      <c r="M569" s="98"/>
      <c r="N569" s="98"/>
    </row>
    <row r="570" spans="1:14" x14ac:dyDescent="0.25">
      <c r="A570">
        <v>1</v>
      </c>
      <c r="B570" s="27">
        <v>46041</v>
      </c>
      <c r="C570" s="95">
        <v>459399.3</v>
      </c>
      <c r="D570" s="230">
        <v>0</v>
      </c>
      <c r="E570" s="95">
        <f t="shared" si="75"/>
        <v>459399.3</v>
      </c>
      <c r="F570" s="236">
        <v>39157</v>
      </c>
      <c r="G570" s="95">
        <f t="shared" si="72"/>
        <v>11.732239446331434</v>
      </c>
      <c r="H570" s="65">
        <f t="shared" si="76"/>
        <v>-8.4712807271514201E-4</v>
      </c>
      <c r="I570" s="72">
        <f t="shared" si="73"/>
        <v>1.5380316647961356E-2</v>
      </c>
      <c r="J570" s="207">
        <v>189.21</v>
      </c>
      <c r="K570" s="229">
        <f t="shared" si="77"/>
        <v>0</v>
      </c>
      <c r="L570" s="229">
        <f t="shared" si="74"/>
        <v>1.8517521666576942E-2</v>
      </c>
      <c r="M570" s="98"/>
      <c r="N570" s="98"/>
    </row>
    <row r="571" spans="1:14" x14ac:dyDescent="0.25">
      <c r="A571">
        <v>1</v>
      </c>
      <c r="B571" s="27">
        <v>46042</v>
      </c>
      <c r="C571" s="95">
        <v>451023.29999999993</v>
      </c>
      <c r="D571" s="230">
        <v>0</v>
      </c>
      <c r="E571" s="95">
        <f t="shared" si="75"/>
        <v>451023.29999999993</v>
      </c>
      <c r="F571" s="236">
        <v>39157</v>
      </c>
      <c r="G571" s="95">
        <f t="shared" si="72"/>
        <v>11.518331332839592</v>
      </c>
      <c r="H571" s="65">
        <f t="shared" si="76"/>
        <v>-1.8232504925453807E-2</v>
      </c>
      <c r="I571" s="72">
        <f t="shared" si="73"/>
        <v>-3.1326099765314197E-3</v>
      </c>
      <c r="J571" s="207">
        <v>185.64</v>
      </c>
      <c r="K571" s="229">
        <f t="shared" si="77"/>
        <v>-1.8867924528301994E-2</v>
      </c>
      <c r="L571" s="229">
        <f t="shared" si="74"/>
        <v>-6.9979006298126478E-4</v>
      </c>
      <c r="M571" s="98"/>
      <c r="N571" s="98"/>
    </row>
    <row r="572" spans="1:14" x14ac:dyDescent="0.25">
      <c r="A572">
        <v>1</v>
      </c>
      <c r="B572" s="27">
        <v>46043</v>
      </c>
      <c r="C572" s="95">
        <v>456067.81000000006</v>
      </c>
      <c r="D572" s="230">
        <v>0</v>
      </c>
      <c r="E572" s="95">
        <f t="shared" si="75"/>
        <v>456067.81000000006</v>
      </c>
      <c r="F572" s="236">
        <v>39157</v>
      </c>
      <c r="G572" s="95">
        <f t="shared" si="72"/>
        <v>11.647159128636005</v>
      </c>
      <c r="H572" s="65">
        <f t="shared" si="76"/>
        <v>1.1184588468046153E-2</v>
      </c>
      <c r="I572" s="72">
        <f t="shared" si="73"/>
        <v>8.0169415380964004E-3</v>
      </c>
      <c r="J572" s="207">
        <v>187.66</v>
      </c>
      <c r="K572" s="229">
        <f t="shared" si="77"/>
        <v>1.0881275587157901E-2</v>
      </c>
      <c r="L572" s="229">
        <f t="shared" si="74"/>
        <v>1.0173870915648253E-2</v>
      </c>
      <c r="M572" s="98"/>
      <c r="N572" s="98"/>
    </row>
    <row r="573" spans="1:14" x14ac:dyDescent="0.25">
      <c r="A573">
        <v>1</v>
      </c>
      <c r="B573" s="27">
        <v>46044</v>
      </c>
      <c r="C573" s="95">
        <v>458664.58999999997</v>
      </c>
      <c r="D573" s="230">
        <v>0</v>
      </c>
      <c r="E573" s="95">
        <f t="shared" si="75"/>
        <v>458664.58999999997</v>
      </c>
      <c r="F573" s="236">
        <v>39157</v>
      </c>
      <c r="G573" s="95">
        <f t="shared" si="72"/>
        <v>11.71347626222642</v>
      </c>
      <c r="H573" s="65">
        <f t="shared" si="76"/>
        <v>5.6938462725528716E-3</v>
      </c>
      <c r="I573" s="72">
        <f t="shared" si="73"/>
        <v>1.3756435043343229E-2</v>
      </c>
      <c r="J573" s="207">
        <v>188.56</v>
      </c>
      <c r="K573" s="229">
        <f t="shared" si="77"/>
        <v>4.7959074922732103E-3</v>
      </c>
      <c r="L573" s="229">
        <f t="shared" si="74"/>
        <v>1.5018571351671284E-2</v>
      </c>
      <c r="M573" s="98"/>
      <c r="N573" s="98"/>
    </row>
    <row r="574" spans="1:14" x14ac:dyDescent="0.25">
      <c r="A574">
        <v>1</v>
      </c>
      <c r="B574" s="27">
        <v>46045</v>
      </c>
      <c r="C574" s="95">
        <v>455028.22000000003</v>
      </c>
      <c r="D574" s="230">
        <v>0</v>
      </c>
      <c r="E574" s="95">
        <f t="shared" si="75"/>
        <v>455028.22000000003</v>
      </c>
      <c r="F574" s="236">
        <v>39157</v>
      </c>
      <c r="G574" s="95">
        <f t="shared" si="72"/>
        <v>11.620609852644483</v>
      </c>
      <c r="H574" s="65">
        <f t="shared" si="76"/>
        <v>-7.9281681631448997E-3</v>
      </c>
      <c r="I574" s="72">
        <f t="shared" si="73"/>
        <v>5.7192035498494498E-3</v>
      </c>
      <c r="J574" s="207">
        <v>188.86</v>
      </c>
      <c r="K574" s="229">
        <f t="shared" si="77"/>
        <v>1.5910055154857439E-3</v>
      </c>
      <c r="L574" s="229">
        <f t="shared" si="74"/>
        <v>1.6633471497012442E-2</v>
      </c>
      <c r="M574" s="98"/>
      <c r="N574" s="98"/>
    </row>
    <row r="575" spans="1:14" x14ac:dyDescent="0.25">
      <c r="A575">
        <v>1</v>
      </c>
      <c r="B575" s="27">
        <v>46046</v>
      </c>
      <c r="C575" s="95">
        <v>455028.22000000003</v>
      </c>
      <c r="D575" s="230">
        <v>0</v>
      </c>
      <c r="E575" s="95">
        <f t="shared" si="75"/>
        <v>455028.22000000003</v>
      </c>
      <c r="F575" s="236">
        <v>39157</v>
      </c>
      <c r="G575" s="95">
        <f t="shared" si="72"/>
        <v>11.620609852644483</v>
      </c>
      <c r="H575" s="65">
        <f t="shared" si="76"/>
        <v>0</v>
      </c>
      <c r="I575" s="72">
        <f t="shared" si="73"/>
        <v>5.7192035498494498E-3</v>
      </c>
      <c r="J575" s="207">
        <v>188.86</v>
      </c>
      <c r="K575" s="229">
        <f t="shared" si="77"/>
        <v>0</v>
      </c>
      <c r="L575" s="229">
        <f t="shared" si="74"/>
        <v>1.6633471497012442E-2</v>
      </c>
      <c r="M575" s="98"/>
      <c r="N575" s="98"/>
    </row>
    <row r="576" spans="1:14" x14ac:dyDescent="0.25">
      <c r="A576">
        <v>1</v>
      </c>
      <c r="B576" s="27">
        <v>46047</v>
      </c>
      <c r="C576" s="95">
        <v>455028.22000000003</v>
      </c>
      <c r="D576" s="230">
        <v>0</v>
      </c>
      <c r="E576" s="95">
        <f t="shared" si="75"/>
        <v>455028.22000000003</v>
      </c>
      <c r="F576" s="236">
        <v>39157</v>
      </c>
      <c r="G576" s="95">
        <f t="shared" si="72"/>
        <v>11.620609852644483</v>
      </c>
      <c r="H576" s="65">
        <f t="shared" si="76"/>
        <v>0</v>
      </c>
      <c r="I576" s="72">
        <f t="shared" si="73"/>
        <v>5.7192035498494498E-3</v>
      </c>
      <c r="J576" s="207">
        <v>188.86</v>
      </c>
      <c r="K576" s="229">
        <f t="shared" si="77"/>
        <v>0</v>
      </c>
      <c r="L576" s="229">
        <f t="shared" si="74"/>
        <v>1.6633471497012442E-2</v>
      </c>
      <c r="M576" s="98"/>
      <c r="N576" s="98"/>
    </row>
    <row r="577" spans="1:14" x14ac:dyDescent="0.25">
      <c r="A577">
        <v>1</v>
      </c>
      <c r="B577" s="27">
        <v>46048</v>
      </c>
      <c r="C577" s="95">
        <v>455070.08999999997</v>
      </c>
      <c r="D577" s="230">
        <v>0</v>
      </c>
      <c r="E577" s="95">
        <f t="shared" si="75"/>
        <v>455070.08999999997</v>
      </c>
      <c r="F577" s="236">
        <v>39157</v>
      </c>
      <c r="G577" s="95">
        <f t="shared" si="72"/>
        <v>11.621679137829762</v>
      </c>
      <c r="H577" s="65">
        <f t="shared" si="76"/>
        <v>9.2016270990757931E-5</v>
      </c>
      <c r="I577" s="72">
        <f t="shared" si="73"/>
        <v>5.8117460806237364E-3</v>
      </c>
      <c r="J577" s="207">
        <v>189.91</v>
      </c>
      <c r="K577" s="229">
        <f t="shared" si="77"/>
        <v>5.5596738324683592E-3</v>
      </c>
      <c r="L577" s="229">
        <f t="shared" si="74"/>
        <v>2.2285622005705941E-2</v>
      </c>
      <c r="M577" s="98"/>
      <c r="N577" s="98"/>
    </row>
    <row r="578" spans="1:14" x14ac:dyDescent="0.25">
      <c r="A578">
        <v>1</v>
      </c>
      <c r="B578" s="27">
        <v>46049</v>
      </c>
      <c r="C578" s="95">
        <v>458679.04000000004</v>
      </c>
      <c r="D578" s="230">
        <v>0</v>
      </c>
      <c r="E578" s="95">
        <f t="shared" si="75"/>
        <v>458679.04000000004</v>
      </c>
      <c r="F578" s="236">
        <v>39157</v>
      </c>
      <c r="G578" s="95">
        <f t="shared" si="72"/>
        <v>11.713845289475701</v>
      </c>
      <c r="H578" s="65">
        <f t="shared" si="76"/>
        <v>7.9305365905284475E-3</v>
      </c>
      <c r="I578" s="72">
        <f t="shared" si="73"/>
        <v>1.3788372936099469E-2</v>
      </c>
      <c r="J578" s="207">
        <v>191.29</v>
      </c>
      <c r="K578" s="229">
        <f t="shared" si="77"/>
        <v>7.2665999684060623E-3</v>
      </c>
      <c r="L578" s="229">
        <f t="shared" si="74"/>
        <v>2.9714162674274514E-2</v>
      </c>
      <c r="M578" s="98"/>
      <c r="N578" s="98"/>
    </row>
    <row r="579" spans="1:14" x14ac:dyDescent="0.25">
      <c r="A579">
        <v>1</v>
      </c>
      <c r="B579" s="27">
        <v>46050</v>
      </c>
      <c r="C579" s="95">
        <v>460783.02999999997</v>
      </c>
      <c r="D579" s="230">
        <v>0</v>
      </c>
      <c r="E579" s="95">
        <f t="shared" si="75"/>
        <v>460783.02999999997</v>
      </c>
      <c r="F579" s="236">
        <v>39157</v>
      </c>
      <c r="G579" s="95">
        <f t="shared" si="72"/>
        <v>11.767577444645912</v>
      </c>
      <c r="H579" s="65">
        <f t="shared" si="76"/>
        <v>4.5870637559544125E-3</v>
      </c>
      <c r="I579" s="72">
        <f t="shared" si="73"/>
        <v>1.8438684837802644E-2</v>
      </c>
      <c r="J579" s="207">
        <v>190.79</v>
      </c>
      <c r="K579" s="229">
        <f t="shared" si="77"/>
        <v>-2.6138324010664959E-3</v>
      </c>
      <c r="L579" s="229">
        <f t="shared" si="74"/>
        <v>2.7022662432039546E-2</v>
      </c>
      <c r="M579" s="98"/>
      <c r="N579" s="98"/>
    </row>
    <row r="580" spans="1:14" x14ac:dyDescent="0.25">
      <c r="A580">
        <v>1</v>
      </c>
      <c r="B580" s="27">
        <v>46051</v>
      </c>
      <c r="C580" s="95">
        <v>460190.36999999988</v>
      </c>
      <c r="D580" s="230">
        <v>0</v>
      </c>
      <c r="E580" s="95">
        <f t="shared" si="75"/>
        <v>460190.36999999988</v>
      </c>
      <c r="F580" s="236">
        <v>39157</v>
      </c>
      <c r="G580" s="95">
        <f t="shared" si="72"/>
        <v>11.75244196439972</v>
      </c>
      <c r="H580" s="65">
        <f t="shared" si="76"/>
        <v>-1.2862018811763409E-3</v>
      </c>
      <c r="I580" s="72">
        <f t="shared" si="73"/>
        <v>1.7128767085501373E-2</v>
      </c>
      <c r="J580" s="207">
        <v>190.8</v>
      </c>
      <c r="K580" s="229">
        <f t="shared" si="77"/>
        <v>5.2413648514271216E-5</v>
      </c>
      <c r="L580" s="229">
        <f t="shared" si="74"/>
        <v>2.7076492436884259E-2</v>
      </c>
      <c r="M580" s="98"/>
      <c r="N580" s="98"/>
    </row>
    <row r="581" spans="1:14" x14ac:dyDescent="0.25">
      <c r="A581">
        <v>1</v>
      </c>
      <c r="B581" s="27">
        <v>46052</v>
      </c>
      <c r="C581" s="95">
        <v>456708.87400000001</v>
      </c>
      <c r="D581" s="230">
        <v>0</v>
      </c>
      <c r="E581" s="95">
        <f t="shared" si="75"/>
        <v>456708.87400000001</v>
      </c>
      <c r="F581" s="236">
        <v>39157</v>
      </c>
      <c r="G581" s="95">
        <f t="shared" si="72"/>
        <v>11.663530760783512</v>
      </c>
      <c r="H581" s="65">
        <f t="shared" si="76"/>
        <v>-7.5653386662564159E-3</v>
      </c>
      <c r="I581" s="72">
        <f t="shared" si="73"/>
        <v>9.4338434953078476E-3</v>
      </c>
      <c r="J581" s="207">
        <v>189.6</v>
      </c>
      <c r="K581" s="229">
        <f t="shared" si="77"/>
        <v>-6.2893081761007386E-3</v>
      </c>
      <c r="L581" s="229">
        <f t="shared" si="74"/>
        <v>2.061689185552007E-2</v>
      </c>
      <c r="M581" s="98"/>
      <c r="N581" s="98"/>
    </row>
    <row r="582" spans="1:14" x14ac:dyDescent="0.25">
      <c r="A582">
        <v>1</v>
      </c>
      <c r="B582" s="27">
        <v>46053</v>
      </c>
      <c r="C582" s="95">
        <v>456708.87400000001</v>
      </c>
      <c r="D582" s="230">
        <v>0</v>
      </c>
      <c r="E582" s="95">
        <f t="shared" si="75"/>
        <v>456708.87400000001</v>
      </c>
      <c r="F582" s="236">
        <v>39157</v>
      </c>
      <c r="G582" s="95">
        <f t="shared" si="72"/>
        <v>11.663530760783512</v>
      </c>
      <c r="H582" s="65">
        <f t="shared" si="76"/>
        <v>0</v>
      </c>
      <c r="I582" s="72">
        <f t="shared" si="73"/>
        <v>9.4338434953078476E-3</v>
      </c>
      <c r="J582" s="207">
        <v>189.6</v>
      </c>
      <c r="K582" s="229">
        <f t="shared" si="77"/>
        <v>0</v>
      </c>
      <c r="L582" s="229">
        <f t="shared" si="74"/>
        <v>2.061689185552007E-2</v>
      </c>
      <c r="M582" s="98"/>
      <c r="N582" s="98"/>
    </row>
    <row r="583" spans="1:14" x14ac:dyDescent="0.25">
      <c r="A583">
        <v>1</v>
      </c>
      <c r="B583" s="27">
        <v>46054</v>
      </c>
      <c r="C583" s="95">
        <v>456708.87400000001</v>
      </c>
      <c r="D583" s="230">
        <v>0</v>
      </c>
      <c r="E583" s="95">
        <f t="shared" si="75"/>
        <v>456708.87400000001</v>
      </c>
      <c r="F583" s="236">
        <v>39157</v>
      </c>
      <c r="G583" s="95">
        <f t="shared" si="72"/>
        <v>11.663530760783512</v>
      </c>
      <c r="H583" s="65">
        <f t="shared" si="76"/>
        <v>0</v>
      </c>
      <c r="I583" s="72">
        <f t="shared" si="73"/>
        <v>9.4338434953078476E-3</v>
      </c>
      <c r="J583" s="207">
        <v>189.6</v>
      </c>
      <c r="K583" s="229">
        <f t="shared" si="77"/>
        <v>0</v>
      </c>
      <c r="L583" s="229">
        <f t="shared" si="74"/>
        <v>2.061689185552007E-2</v>
      </c>
      <c r="M583" s="98"/>
      <c r="N583" s="98"/>
    </row>
    <row r="584" spans="1:14" x14ac:dyDescent="0.25">
      <c r="A584">
        <v>1</v>
      </c>
      <c r="B584" s="27">
        <v>46055</v>
      </c>
      <c r="C584" s="95">
        <v>461979.45999999996</v>
      </c>
      <c r="D584" s="230">
        <v>0</v>
      </c>
      <c r="E584" s="95">
        <f t="shared" si="75"/>
        <v>461979.45999999996</v>
      </c>
      <c r="F584" s="236">
        <v>39157</v>
      </c>
      <c r="G584" s="95">
        <f t="shared" ref="G584:G615" si="78">E584/F584</f>
        <v>11.798132134739637</v>
      </c>
      <c r="H584" s="65">
        <f t="shared" si="76"/>
        <v>1.1540362581174524E-2</v>
      </c>
      <c r="I584" s="72">
        <f t="shared" ref="I584:I615" si="79">G584/$G$552-1</f>
        <v>2.1083076050952165E-2</v>
      </c>
      <c r="J584" s="207">
        <v>190.66</v>
      </c>
      <c r="K584" s="229">
        <f t="shared" si="77"/>
        <v>5.5907172995781629E-3</v>
      </c>
      <c r="L584" s="229">
        <f t="shared" ref="L584:L615" si="80">J584/$J$552-1</f>
        <v>2.6322872369058503E-2</v>
      </c>
      <c r="M584" s="98"/>
      <c r="N584" s="98"/>
    </row>
    <row r="585" spans="1:14" x14ac:dyDescent="0.25">
      <c r="A585">
        <v>1</v>
      </c>
      <c r="B585" s="27">
        <v>46056</v>
      </c>
      <c r="C585" s="95">
        <v>807816.79000000015</v>
      </c>
      <c r="D585" s="230">
        <v>0</v>
      </c>
      <c r="E585" s="95">
        <f t="shared" ref="E585:E616" si="81">C585-D585</f>
        <v>807816.79000000015</v>
      </c>
      <c r="F585" s="236">
        <v>68818.016949152545</v>
      </c>
      <c r="G585" s="95">
        <f t="shared" si="78"/>
        <v>11.738449112779149</v>
      </c>
      <c r="H585" s="65">
        <f t="shared" ref="H585:H616" si="82">G585/G584-1</f>
        <v>-5.0586839746227241E-3</v>
      </c>
      <c r="I585" s="72">
        <f t="shared" si="79"/>
        <v>1.5917739457374847E-2</v>
      </c>
      <c r="J585" s="207">
        <v>189.44</v>
      </c>
      <c r="K585" s="229">
        <f t="shared" ref="K585:K616" si="83">J585/J584-1</f>
        <v>-6.3988251337459001E-3</v>
      </c>
      <c r="L585" s="229">
        <f t="shared" si="80"/>
        <v>1.9755611778004889E-2</v>
      </c>
      <c r="M585" s="98"/>
      <c r="N585" s="98"/>
    </row>
    <row r="586" spans="1:14" x14ac:dyDescent="0.25">
      <c r="A586">
        <v>1</v>
      </c>
      <c r="B586" s="27">
        <v>46057</v>
      </c>
      <c r="C586" s="95">
        <v>784647.77999999991</v>
      </c>
      <c r="D586" s="230">
        <v>0</v>
      </c>
      <c r="E586" s="95">
        <f t="shared" si="81"/>
        <v>784647.77999999991</v>
      </c>
      <c r="F586" s="236">
        <v>68818.016949152545</v>
      </c>
      <c r="G586" s="95">
        <f t="shared" si="78"/>
        <v>11.401778411891051</v>
      </c>
      <c r="H586" s="65">
        <f t="shared" si="82"/>
        <v>-2.868102060617006E-2</v>
      </c>
      <c r="I586" s="72">
        <f t="shared" si="79"/>
        <v>-1.3219818162175767E-2</v>
      </c>
      <c r="J586" s="207">
        <v>188.98</v>
      </c>
      <c r="K586" s="229">
        <f t="shared" si="83"/>
        <v>-2.4282094594595405E-3</v>
      </c>
      <c r="L586" s="229">
        <f t="shared" si="80"/>
        <v>1.7279431555148772E-2</v>
      </c>
      <c r="M586" s="98"/>
      <c r="N586" s="98"/>
    </row>
    <row r="587" spans="1:14" x14ac:dyDescent="0.25">
      <c r="A587">
        <v>1</v>
      </c>
      <c r="B587" s="27">
        <v>46058</v>
      </c>
      <c r="C587" s="95">
        <v>784266.36</v>
      </c>
      <c r="D587" s="230">
        <v>0</v>
      </c>
      <c r="E587" s="95">
        <f t="shared" si="81"/>
        <v>784266.36</v>
      </c>
      <c r="F587" s="236">
        <v>68818.016949152545</v>
      </c>
      <c r="G587" s="95">
        <f t="shared" si="78"/>
        <v>11.396235967965621</v>
      </c>
      <c r="H587" s="65">
        <f t="shared" si="82"/>
        <v>-4.8610345905775176E-4</v>
      </c>
      <c r="I587" s="72">
        <f t="shared" si="79"/>
        <v>-1.3699495421896746E-2</v>
      </c>
      <c r="J587" s="207">
        <v>186.46</v>
      </c>
      <c r="K587" s="229">
        <f t="shared" si="83"/>
        <v>-1.333474441739857E-2</v>
      </c>
      <c r="L587" s="229">
        <f t="shared" si="80"/>
        <v>3.7142703342842864E-3</v>
      </c>
      <c r="M587" s="98"/>
      <c r="N587" s="98"/>
    </row>
    <row r="588" spans="1:14" x14ac:dyDescent="0.25">
      <c r="A588">
        <v>1</v>
      </c>
      <c r="B588" s="27">
        <v>46059</v>
      </c>
      <c r="C588" s="95">
        <v>808564</v>
      </c>
      <c r="D588" s="230">
        <v>0</v>
      </c>
      <c r="E588" s="95">
        <f t="shared" si="81"/>
        <v>808564</v>
      </c>
      <c r="F588" s="236">
        <v>68818.016949152545</v>
      </c>
      <c r="G588" s="95">
        <f t="shared" si="78"/>
        <v>11.749306879874529</v>
      </c>
      <c r="H588" s="65">
        <f t="shared" si="82"/>
        <v>3.0981361995432222E-2</v>
      </c>
      <c r="I588" s="72">
        <f t="shared" si="79"/>
        <v>1.6857437546714982E-2</v>
      </c>
      <c r="J588" s="207">
        <v>190.24</v>
      </c>
      <c r="K588" s="229">
        <f t="shared" si="83"/>
        <v>2.0272444492116293E-2</v>
      </c>
      <c r="L588" s="229">
        <f t="shared" si="80"/>
        <v>2.4062012165581015E-2</v>
      </c>
      <c r="M588" s="98"/>
      <c r="N588" s="98"/>
    </row>
    <row r="589" spans="1:14" x14ac:dyDescent="0.25">
      <c r="A589">
        <v>1</v>
      </c>
      <c r="B589" s="27">
        <v>46060</v>
      </c>
      <c r="C589" s="95">
        <v>808564</v>
      </c>
      <c r="D589" s="230">
        <v>0</v>
      </c>
      <c r="E589" s="95">
        <f t="shared" si="81"/>
        <v>808564</v>
      </c>
      <c r="F589" s="236">
        <v>68818.016949152545</v>
      </c>
      <c r="G589" s="95">
        <f t="shared" si="78"/>
        <v>11.749306879874529</v>
      </c>
      <c r="H589" s="65">
        <f t="shared" si="82"/>
        <v>0</v>
      </c>
      <c r="I589" s="72">
        <f t="shared" si="79"/>
        <v>1.6857437546714982E-2</v>
      </c>
      <c r="J589" s="207">
        <v>190.24</v>
      </c>
      <c r="K589" s="229">
        <f t="shared" si="83"/>
        <v>0</v>
      </c>
      <c r="L589" s="229">
        <f t="shared" si="80"/>
        <v>2.4062012165581015E-2</v>
      </c>
      <c r="M589" s="98"/>
      <c r="N589" s="98"/>
    </row>
    <row r="590" spans="1:14" x14ac:dyDescent="0.25">
      <c r="A590">
        <v>1</v>
      </c>
      <c r="B590" s="27">
        <v>46061</v>
      </c>
      <c r="C590" s="95">
        <v>808564</v>
      </c>
      <c r="D590" s="230">
        <v>0</v>
      </c>
      <c r="E590" s="95">
        <f t="shared" si="81"/>
        <v>808564</v>
      </c>
      <c r="F590" s="236">
        <v>68818.016949152545</v>
      </c>
      <c r="G590" s="95">
        <f t="shared" si="78"/>
        <v>11.749306879874529</v>
      </c>
      <c r="H590" s="65">
        <f t="shared" si="82"/>
        <v>0</v>
      </c>
      <c r="I590" s="72">
        <f t="shared" si="79"/>
        <v>1.6857437546714982E-2</v>
      </c>
      <c r="J590" s="207">
        <v>190.24</v>
      </c>
      <c r="K590" s="229">
        <f t="shared" si="83"/>
        <v>0</v>
      </c>
      <c r="L590" s="229">
        <f t="shared" si="80"/>
        <v>2.4062012165581015E-2</v>
      </c>
      <c r="M590" s="98"/>
      <c r="N590" s="98"/>
    </row>
    <row r="591" spans="1:14" x14ac:dyDescent="0.25">
      <c r="A591">
        <v>1</v>
      </c>
      <c r="B591" s="27">
        <v>46062</v>
      </c>
      <c r="C591" s="95">
        <v>819384.83</v>
      </c>
      <c r="D591" s="230">
        <v>0</v>
      </c>
      <c r="E591" s="95">
        <f t="shared" si="81"/>
        <v>819384.83</v>
      </c>
      <c r="F591" s="236">
        <v>68818.016949152545</v>
      </c>
      <c r="G591" s="95">
        <f t="shared" si="78"/>
        <v>11.906545209017247</v>
      </c>
      <c r="H591" s="65">
        <f t="shared" si="82"/>
        <v>1.3382774894751703E-2</v>
      </c>
      <c r="I591" s="72">
        <f t="shared" si="79"/>
        <v>3.0465811733456638E-2</v>
      </c>
      <c r="J591" s="207">
        <v>191.84</v>
      </c>
      <c r="K591" s="229">
        <f t="shared" si="83"/>
        <v>8.410428931875602E-3</v>
      </c>
      <c r="L591" s="229">
        <f t="shared" si="80"/>
        <v>3.2674812940733045E-2</v>
      </c>
      <c r="M591" s="98"/>
      <c r="N591" s="98"/>
    </row>
    <row r="592" spans="1:14" x14ac:dyDescent="0.25">
      <c r="A592">
        <v>1</v>
      </c>
      <c r="B592" s="27">
        <v>46063</v>
      </c>
      <c r="C592" s="95">
        <v>785534.97999999986</v>
      </c>
      <c r="D592" s="230">
        <v>0</v>
      </c>
      <c r="E592" s="95">
        <f t="shared" si="81"/>
        <v>785534.97999999986</v>
      </c>
      <c r="F592" s="236">
        <v>68818.016949152545</v>
      </c>
      <c r="G592" s="95">
        <f t="shared" si="78"/>
        <v>11.414670384652421</v>
      </c>
      <c r="H592" s="65">
        <f t="shared" si="82"/>
        <v>-4.1311296915272466E-2</v>
      </c>
      <c r="I592" s="72">
        <f t="shared" si="79"/>
        <v>-1.2104067376101479E-2</v>
      </c>
      <c r="J592" s="207">
        <v>191.6</v>
      </c>
      <c r="K592" s="229">
        <f t="shared" si="83"/>
        <v>-1.2510425354462784E-3</v>
      </c>
      <c r="L592" s="229">
        <f t="shared" si="80"/>
        <v>3.1382892824460162E-2</v>
      </c>
      <c r="M592" s="98"/>
      <c r="N592" s="98"/>
    </row>
    <row r="593" spans="1:14" x14ac:dyDescent="0.25">
      <c r="A593">
        <v>1</v>
      </c>
      <c r="B593" s="27">
        <v>46064</v>
      </c>
      <c r="C593" s="95">
        <v>780467.73</v>
      </c>
      <c r="D593" s="230">
        <v>0</v>
      </c>
      <c r="E593" s="95">
        <f t="shared" si="81"/>
        <v>780467.73</v>
      </c>
      <c r="F593" s="236">
        <v>68818.016949152545</v>
      </c>
      <c r="G593" s="95">
        <f t="shared" si="78"/>
        <v>11.341037777602091</v>
      </c>
      <c r="H593" s="65">
        <f t="shared" si="82"/>
        <v>-6.4506993692373671E-3</v>
      </c>
      <c r="I593" s="72">
        <f t="shared" si="79"/>
        <v>-1.847668704555061E-2</v>
      </c>
      <c r="J593" s="207">
        <v>191.83</v>
      </c>
      <c r="K593" s="229">
        <f t="shared" si="83"/>
        <v>1.2004175365345482E-3</v>
      </c>
      <c r="L593" s="229">
        <f t="shared" si="80"/>
        <v>3.2620982935888554E-2</v>
      </c>
      <c r="M593" s="98"/>
      <c r="N593" s="98"/>
    </row>
    <row r="594" spans="1:14" x14ac:dyDescent="0.25">
      <c r="A594">
        <v>1</v>
      </c>
      <c r="B594" s="27">
        <v>46065</v>
      </c>
      <c r="C594" s="95">
        <v>771313.62999999989</v>
      </c>
      <c r="D594" s="230">
        <v>0</v>
      </c>
      <c r="E594" s="95">
        <f t="shared" si="81"/>
        <v>771313.62999999989</v>
      </c>
      <c r="F594" s="236">
        <v>68818.016949152545</v>
      </c>
      <c r="G594" s="95">
        <f t="shared" si="78"/>
        <v>11.20801883277019</v>
      </c>
      <c r="H594" s="65">
        <f t="shared" si="82"/>
        <v>-1.1728992305678254E-2</v>
      </c>
      <c r="I594" s="72">
        <f t="shared" si="79"/>
        <v>-2.9988966431037212E-2</v>
      </c>
      <c r="J594" s="207">
        <v>189.02</v>
      </c>
      <c r="K594" s="229">
        <f t="shared" si="83"/>
        <v>-1.4648386592295282E-2</v>
      </c>
      <c r="L594" s="229">
        <f t="shared" si="80"/>
        <v>1.7494751574527623E-2</v>
      </c>
      <c r="M594" s="98"/>
      <c r="N594" s="98"/>
    </row>
    <row r="595" spans="1:14" x14ac:dyDescent="0.25">
      <c r="A595">
        <v>1</v>
      </c>
      <c r="B595" s="27">
        <v>46066</v>
      </c>
      <c r="C595" s="95">
        <v>771341.91999999993</v>
      </c>
      <c r="D595" s="230">
        <v>0</v>
      </c>
      <c r="E595" s="95">
        <f t="shared" si="81"/>
        <v>771341.91999999993</v>
      </c>
      <c r="F595" s="236">
        <v>68818.016949152545</v>
      </c>
      <c r="G595" s="95">
        <f t="shared" si="78"/>
        <v>11.208429916978282</v>
      </c>
      <c r="H595" s="65">
        <f t="shared" si="82"/>
        <v>3.6677687129671455E-5</v>
      </c>
      <c r="I595" s="72">
        <f t="shared" si="79"/>
        <v>-2.9953388669835546E-2</v>
      </c>
      <c r="J595" s="207">
        <v>189.4</v>
      </c>
      <c r="K595" s="229">
        <f t="shared" si="83"/>
        <v>2.010369273092838E-3</v>
      </c>
      <c r="L595" s="229">
        <f t="shared" si="80"/>
        <v>1.954029175862626E-2</v>
      </c>
      <c r="M595" s="98"/>
      <c r="N595" s="98"/>
    </row>
    <row r="596" spans="1:14" x14ac:dyDescent="0.25">
      <c r="A596">
        <v>1</v>
      </c>
      <c r="B596" s="27">
        <v>46067</v>
      </c>
      <c r="C596" s="95">
        <v>771341.91999999993</v>
      </c>
      <c r="D596" s="230">
        <v>0</v>
      </c>
      <c r="E596" s="95">
        <f t="shared" si="81"/>
        <v>771341.91999999993</v>
      </c>
      <c r="F596" s="236">
        <v>68818.016949152545</v>
      </c>
      <c r="G596" s="95">
        <f t="shared" si="78"/>
        <v>11.208429916978282</v>
      </c>
      <c r="H596" s="65">
        <f t="shared" si="82"/>
        <v>0</v>
      </c>
      <c r="I596" s="72">
        <f t="shared" si="79"/>
        <v>-2.9953388669835546E-2</v>
      </c>
      <c r="J596" s="207">
        <v>189.4</v>
      </c>
      <c r="K596" s="229">
        <f t="shared" si="83"/>
        <v>0</v>
      </c>
      <c r="L596" s="229">
        <f t="shared" si="80"/>
        <v>1.954029175862626E-2</v>
      </c>
      <c r="M596" s="98"/>
      <c r="N596" s="98"/>
    </row>
    <row r="597" spans="1:14" x14ac:dyDescent="0.25">
      <c r="A597">
        <v>1</v>
      </c>
      <c r="B597" s="27">
        <v>46068</v>
      </c>
      <c r="C597" s="95">
        <v>771341.91999999993</v>
      </c>
      <c r="D597" s="230">
        <v>0</v>
      </c>
      <c r="E597" s="95">
        <f t="shared" si="81"/>
        <v>771341.91999999993</v>
      </c>
      <c r="F597" s="236">
        <v>68818.016949152545</v>
      </c>
      <c r="G597" s="95">
        <f t="shared" si="78"/>
        <v>11.208429916978282</v>
      </c>
      <c r="H597" s="65">
        <f t="shared" si="82"/>
        <v>0</v>
      </c>
      <c r="I597" s="72">
        <f t="shared" si="79"/>
        <v>-2.9953388669835546E-2</v>
      </c>
      <c r="J597" s="207">
        <v>189.4</v>
      </c>
      <c r="K597" s="229">
        <f t="shared" si="83"/>
        <v>0</v>
      </c>
      <c r="L597" s="229">
        <f t="shared" si="80"/>
        <v>1.954029175862626E-2</v>
      </c>
      <c r="M597" s="98"/>
      <c r="N597" s="98"/>
    </row>
    <row r="598" spans="1:14" x14ac:dyDescent="0.25">
      <c r="A598">
        <v>1</v>
      </c>
      <c r="B598" s="27">
        <v>46069</v>
      </c>
      <c r="C598" s="95">
        <v>771059.22</v>
      </c>
      <c r="D598" s="230">
        <v>0</v>
      </c>
      <c r="E598" s="95">
        <f t="shared" si="81"/>
        <v>771059.22</v>
      </c>
      <c r="F598" s="236">
        <v>68818.016949152545</v>
      </c>
      <c r="G598" s="95">
        <f t="shared" si="78"/>
        <v>11.204321981113045</v>
      </c>
      <c r="H598" s="65">
        <f t="shared" si="82"/>
        <v>-3.665041308786865E-4</v>
      </c>
      <c r="I598" s="72">
        <f t="shared" si="79"/>
        <v>-3.0308914760032946E-2</v>
      </c>
      <c r="J598" s="207">
        <v>189.4</v>
      </c>
      <c r="K598" s="229">
        <f t="shared" si="83"/>
        <v>0</v>
      </c>
      <c r="L598" s="229">
        <f t="shared" si="80"/>
        <v>1.954029175862626E-2</v>
      </c>
      <c r="M598" s="98"/>
      <c r="N598" s="98"/>
    </row>
    <row r="599" spans="1:14" x14ac:dyDescent="0.25">
      <c r="A599">
        <v>1</v>
      </c>
      <c r="B599" s="27">
        <v>46070</v>
      </c>
      <c r="C599" s="95">
        <v>776419.24</v>
      </c>
      <c r="D599" s="230">
        <v>0</v>
      </c>
      <c r="E599" s="95">
        <f t="shared" si="81"/>
        <v>776419.24</v>
      </c>
      <c r="F599" s="236">
        <v>68818.016949152545</v>
      </c>
      <c r="G599" s="95">
        <f t="shared" si="78"/>
        <v>11.282208851988159</v>
      </c>
      <c r="H599" s="65">
        <f t="shared" si="82"/>
        <v>6.9515023761728134E-3</v>
      </c>
      <c r="I599" s="72">
        <f t="shared" si="79"/>
        <v>-2.3568104876833695E-2</v>
      </c>
      <c r="J599" s="207">
        <v>189.46</v>
      </c>
      <c r="K599" s="229">
        <f t="shared" si="83"/>
        <v>3.1678986272432041E-4</v>
      </c>
      <c r="L599" s="229">
        <f t="shared" si="80"/>
        <v>1.9863271787694536E-2</v>
      </c>
      <c r="M599" s="98"/>
      <c r="N599" s="98"/>
    </row>
    <row r="600" spans="1:14" x14ac:dyDescent="0.25">
      <c r="A600">
        <v>1</v>
      </c>
      <c r="B600" s="27">
        <v>46071</v>
      </c>
      <c r="C600" s="95">
        <v>783575.54999999993</v>
      </c>
      <c r="D600" s="230">
        <v>0</v>
      </c>
      <c r="E600" s="95">
        <f t="shared" si="81"/>
        <v>783575.54999999993</v>
      </c>
      <c r="F600" s="236">
        <v>68818.016949152545</v>
      </c>
      <c r="G600" s="95">
        <f t="shared" si="78"/>
        <v>11.386197753692308</v>
      </c>
      <c r="H600" s="65">
        <f t="shared" si="82"/>
        <v>9.2170693760755817E-3</v>
      </c>
      <c r="I600" s="72">
        <f t="shared" si="79"/>
        <v>-1.4568264358470473E-2</v>
      </c>
      <c r="J600" s="207">
        <v>190.41</v>
      </c>
      <c r="K600" s="229">
        <f t="shared" si="83"/>
        <v>5.0142510292410236E-3</v>
      </c>
      <c r="L600" s="229">
        <f t="shared" si="80"/>
        <v>2.4977122247940908E-2</v>
      </c>
      <c r="M600" s="98"/>
      <c r="N600" s="98"/>
    </row>
    <row r="601" spans="1:14" x14ac:dyDescent="0.25">
      <c r="A601">
        <v>1</v>
      </c>
      <c r="B601" s="27">
        <v>46072</v>
      </c>
      <c r="C601" s="95">
        <v>783227.41</v>
      </c>
      <c r="D601" s="230">
        <v>0</v>
      </c>
      <c r="E601" s="95">
        <f t="shared" si="81"/>
        <v>783227.41</v>
      </c>
      <c r="F601" s="236">
        <v>68818.016949152545</v>
      </c>
      <c r="G601" s="95">
        <f t="shared" si="78"/>
        <v>11.381138904056215</v>
      </c>
      <c r="H601" s="65">
        <f t="shared" si="82"/>
        <v>-4.4429666035372684E-4</v>
      </c>
      <c r="I601" s="72">
        <f t="shared" si="79"/>
        <v>-1.5006088387622629E-2</v>
      </c>
      <c r="J601" s="207">
        <v>189.89</v>
      </c>
      <c r="K601" s="229">
        <f t="shared" si="83"/>
        <v>-2.7309490047792151E-3</v>
      </c>
      <c r="L601" s="229">
        <f t="shared" si="80"/>
        <v>2.2177961996016515E-2</v>
      </c>
      <c r="M601" s="98"/>
      <c r="N601" s="98"/>
    </row>
    <row r="602" spans="1:14" x14ac:dyDescent="0.25">
      <c r="A602">
        <v>1</v>
      </c>
      <c r="B602" s="27">
        <v>46073</v>
      </c>
      <c r="C602" s="95">
        <v>784942.25999999989</v>
      </c>
      <c r="D602" s="230">
        <v>0</v>
      </c>
      <c r="E602" s="95">
        <f t="shared" si="81"/>
        <v>784942.25999999989</v>
      </c>
      <c r="F602" s="236">
        <v>68818.016949152545</v>
      </c>
      <c r="G602" s="95">
        <f t="shared" si="78"/>
        <v>11.406057523859905</v>
      </c>
      <c r="H602" s="65">
        <f t="shared" si="82"/>
        <v>2.1894662751906768E-3</v>
      </c>
      <c r="I602" s="72">
        <f t="shared" si="79"/>
        <v>-1.2849477436879253E-2</v>
      </c>
      <c r="J602" s="207">
        <v>191.19</v>
      </c>
      <c r="K602" s="229">
        <f t="shared" si="83"/>
        <v>6.8460687766602746E-3</v>
      </c>
      <c r="L602" s="229">
        <f t="shared" si="80"/>
        <v>2.9175862625827609E-2</v>
      </c>
      <c r="M602" s="98"/>
      <c r="N602" s="98"/>
    </row>
    <row r="603" spans="1:14" x14ac:dyDescent="0.25">
      <c r="A603">
        <v>1</v>
      </c>
      <c r="B603" s="27">
        <v>46074</v>
      </c>
      <c r="C603" s="95">
        <v>784942.25999999989</v>
      </c>
      <c r="D603" s="230">
        <v>0</v>
      </c>
      <c r="E603" s="95">
        <f t="shared" si="81"/>
        <v>784942.25999999989</v>
      </c>
      <c r="F603" s="236">
        <v>68818.016949152545</v>
      </c>
      <c r="G603" s="95">
        <f t="shared" si="78"/>
        <v>11.406057523859905</v>
      </c>
      <c r="H603" s="65">
        <f t="shared" si="82"/>
        <v>0</v>
      </c>
      <c r="I603" s="72">
        <f t="shared" si="79"/>
        <v>-1.2849477436879253E-2</v>
      </c>
      <c r="J603" s="207">
        <v>191.19</v>
      </c>
      <c r="K603" s="229">
        <f t="shared" si="83"/>
        <v>0</v>
      </c>
      <c r="L603" s="229">
        <f t="shared" si="80"/>
        <v>2.9175862625827609E-2</v>
      </c>
      <c r="M603" s="98"/>
      <c r="N603" s="98"/>
    </row>
    <row r="604" spans="1:14" x14ac:dyDescent="0.25">
      <c r="A604">
        <v>1</v>
      </c>
      <c r="B604" s="27">
        <v>46075</v>
      </c>
      <c r="C604" s="95">
        <v>784942.25999999989</v>
      </c>
      <c r="D604" s="230">
        <v>0</v>
      </c>
      <c r="E604" s="95">
        <f t="shared" si="81"/>
        <v>784942.25999999989</v>
      </c>
      <c r="F604" s="236">
        <v>68818.016949152545</v>
      </c>
      <c r="G604" s="95">
        <f t="shared" si="78"/>
        <v>11.406057523859905</v>
      </c>
      <c r="H604" s="65">
        <f t="shared" si="82"/>
        <v>0</v>
      </c>
      <c r="I604" s="72">
        <f t="shared" si="79"/>
        <v>-1.2849477436879253E-2</v>
      </c>
      <c r="J604" s="207">
        <v>191.19</v>
      </c>
      <c r="K604" s="229">
        <f t="shared" si="83"/>
        <v>0</v>
      </c>
      <c r="L604" s="229">
        <f t="shared" si="80"/>
        <v>2.9175862625827609E-2</v>
      </c>
      <c r="M604" s="98"/>
      <c r="N604" s="98"/>
    </row>
    <row r="605" spans="1:14" x14ac:dyDescent="0.25">
      <c r="A605">
        <v>1</v>
      </c>
      <c r="B605" s="27">
        <v>46076</v>
      </c>
      <c r="C605" s="95">
        <v>782588.18500000006</v>
      </c>
      <c r="D605" s="230">
        <v>0</v>
      </c>
      <c r="E605" s="95">
        <f t="shared" si="81"/>
        <v>782588.18500000006</v>
      </c>
      <c r="F605" s="236">
        <v>68818.016949152545</v>
      </c>
      <c r="G605" s="95">
        <f t="shared" si="78"/>
        <v>11.371850275462451</v>
      </c>
      <c r="H605" s="65">
        <f t="shared" si="82"/>
        <v>-2.9990422480244971E-3</v>
      </c>
      <c r="I605" s="72">
        <f t="shared" si="79"/>
        <v>-1.5809983559205598E-2</v>
      </c>
      <c r="J605" s="207">
        <v>189.5</v>
      </c>
      <c r="K605" s="229">
        <f t="shared" si="83"/>
        <v>-8.8393744442700761E-3</v>
      </c>
      <c r="L605" s="229">
        <f t="shared" si="80"/>
        <v>2.0078591807073165E-2</v>
      </c>
      <c r="M605" s="98"/>
      <c r="N605" s="98"/>
    </row>
    <row r="606" spans="1:14" x14ac:dyDescent="0.25">
      <c r="A606">
        <v>1</v>
      </c>
      <c r="B606" s="27">
        <v>46077</v>
      </c>
      <c r="C606" s="95">
        <v>799284.13</v>
      </c>
      <c r="D606" s="230">
        <v>0</v>
      </c>
      <c r="E606" s="95">
        <f t="shared" si="81"/>
        <v>799284.13</v>
      </c>
      <c r="F606" s="236">
        <v>68818.016949152545</v>
      </c>
      <c r="G606" s="95">
        <f t="shared" si="78"/>
        <v>11.61446036131157</v>
      </c>
      <c r="H606" s="65">
        <f t="shared" si="82"/>
        <v>2.1334266629644993E-2</v>
      </c>
      <c r="I606" s="72">
        <f t="shared" si="79"/>
        <v>5.1869886657771591E-3</v>
      </c>
      <c r="J606" s="207">
        <v>190.77</v>
      </c>
      <c r="K606" s="229">
        <f t="shared" si="83"/>
        <v>6.7018469656991986E-3</v>
      </c>
      <c r="L606" s="229">
        <f t="shared" si="80"/>
        <v>2.6915002422350121E-2</v>
      </c>
      <c r="M606" s="98"/>
      <c r="N606" s="98"/>
    </row>
    <row r="607" spans="1:14" x14ac:dyDescent="0.25">
      <c r="A607">
        <v>1</v>
      </c>
      <c r="B607" s="27">
        <v>46078</v>
      </c>
      <c r="C607" s="95">
        <v>836490.38500000001</v>
      </c>
      <c r="D607" s="230">
        <v>0</v>
      </c>
      <c r="E607" s="95">
        <f t="shared" si="81"/>
        <v>836490.38500000001</v>
      </c>
      <c r="F607" s="236">
        <v>68818.016949152545</v>
      </c>
      <c r="G607" s="95">
        <f t="shared" si="78"/>
        <v>12.155107369892049</v>
      </c>
      <c r="H607" s="65">
        <f t="shared" si="82"/>
        <v>4.6549472964013461E-2</v>
      </c>
      <c r="I607" s="72">
        <f t="shared" si="79"/>
        <v>5.1977913218452798E-2</v>
      </c>
      <c r="J607" s="207">
        <v>192.37</v>
      </c>
      <c r="K607" s="229">
        <f t="shared" si="83"/>
        <v>8.3870629553912668E-3</v>
      </c>
      <c r="L607" s="229">
        <f t="shared" si="80"/>
        <v>3.552780319750215E-2</v>
      </c>
      <c r="M607" s="98"/>
      <c r="N607" s="98"/>
    </row>
    <row r="608" spans="1:14" x14ac:dyDescent="0.25">
      <c r="A608">
        <v>1</v>
      </c>
      <c r="B608" s="27">
        <v>46079</v>
      </c>
      <c r="C608" s="95">
        <v>818523.75999999989</v>
      </c>
      <c r="D608" s="230">
        <v>0</v>
      </c>
      <c r="E608" s="95">
        <f t="shared" si="81"/>
        <v>818523.75999999989</v>
      </c>
      <c r="F608" s="236">
        <v>68818.016949152545</v>
      </c>
      <c r="G608" s="95">
        <f t="shared" si="78"/>
        <v>11.894032933334612</v>
      </c>
      <c r="H608" s="65">
        <f t="shared" si="82"/>
        <v>-2.1478579218815685E-2</v>
      </c>
      <c r="I608" s="72">
        <f t="shared" si="79"/>
        <v>2.9382922272945811E-2</v>
      </c>
      <c r="J608" s="207">
        <v>191.68</v>
      </c>
      <c r="K608" s="229">
        <f t="shared" si="83"/>
        <v>-3.5868378645318444E-3</v>
      </c>
      <c r="L608" s="229">
        <f t="shared" si="80"/>
        <v>3.1813532863217864E-2</v>
      </c>
      <c r="M608" s="98"/>
      <c r="N608" s="98"/>
    </row>
    <row r="609" spans="1:14" x14ac:dyDescent="0.25">
      <c r="A609">
        <v>1</v>
      </c>
      <c r="B609" s="27">
        <v>46080</v>
      </c>
      <c r="C609" s="95">
        <v>812960.6599999998</v>
      </c>
      <c r="D609" s="230">
        <v>0</v>
      </c>
      <c r="E609" s="95">
        <f t="shared" si="81"/>
        <v>812960.6599999998</v>
      </c>
      <c r="F609" s="236">
        <v>68818.016949152545</v>
      </c>
      <c r="G609" s="95">
        <f t="shared" si="78"/>
        <v>11.813195091056906</v>
      </c>
      <c r="H609" s="65">
        <f t="shared" si="82"/>
        <v>-6.7965039890840462E-3</v>
      </c>
      <c r="I609" s="72">
        <f t="shared" si="79"/>
        <v>2.238671713542284E-2</v>
      </c>
      <c r="J609" s="207">
        <v>190.84</v>
      </c>
      <c r="K609" s="229">
        <f t="shared" si="83"/>
        <v>-4.3823038397329261E-3</v>
      </c>
      <c r="L609" s="229">
        <f t="shared" si="80"/>
        <v>2.7291812456263109E-2</v>
      </c>
      <c r="M609" s="98"/>
      <c r="N609" s="98"/>
    </row>
    <row r="610" spans="1:14" x14ac:dyDescent="0.25">
      <c r="A610">
        <v>1</v>
      </c>
      <c r="B610" s="27">
        <v>46081</v>
      </c>
      <c r="C610" s="95">
        <v>812960.6599999998</v>
      </c>
      <c r="D610" s="230">
        <v>0</v>
      </c>
      <c r="E610" s="95">
        <f t="shared" si="81"/>
        <v>812960.6599999998</v>
      </c>
      <c r="F610" s="236">
        <v>68818.016949152545</v>
      </c>
      <c r="G610" s="95">
        <f t="shared" si="78"/>
        <v>11.813195091056906</v>
      </c>
      <c r="H610" s="65">
        <f t="shared" si="82"/>
        <v>0</v>
      </c>
      <c r="I610" s="72">
        <f t="shared" si="79"/>
        <v>2.238671713542284E-2</v>
      </c>
      <c r="J610" s="207">
        <v>190.84</v>
      </c>
      <c r="K610" s="229">
        <f t="shared" si="83"/>
        <v>0</v>
      </c>
      <c r="L610" s="229">
        <f t="shared" si="80"/>
        <v>2.7291812456263109E-2</v>
      </c>
      <c r="M610" s="98"/>
      <c r="N610" s="98"/>
    </row>
    <row r="611" spans="1:14" x14ac:dyDescent="0.25">
      <c r="A611">
        <v>1</v>
      </c>
      <c r="B611" s="27">
        <v>46082</v>
      </c>
      <c r="C611" s="95">
        <v>812960.6599999998</v>
      </c>
      <c r="D611" s="230">
        <v>0</v>
      </c>
      <c r="E611" s="95">
        <f t="shared" si="81"/>
        <v>812960.6599999998</v>
      </c>
      <c r="F611" s="236">
        <v>68818.016949152545</v>
      </c>
      <c r="G611" s="95">
        <f t="shared" si="78"/>
        <v>11.813195091056906</v>
      </c>
      <c r="H611" s="65">
        <f t="shared" si="82"/>
        <v>0</v>
      </c>
      <c r="I611" s="72">
        <f t="shared" si="79"/>
        <v>2.238671713542284E-2</v>
      </c>
      <c r="J611" s="207">
        <v>190.84</v>
      </c>
      <c r="K611" s="229">
        <f t="shared" si="83"/>
        <v>0</v>
      </c>
      <c r="L611" s="229">
        <f t="shared" si="80"/>
        <v>2.7291812456263109E-2</v>
      </c>
      <c r="M611" s="98"/>
      <c r="N611" s="98"/>
    </row>
    <row r="612" spans="1:14" x14ac:dyDescent="0.25">
      <c r="A612">
        <v>1</v>
      </c>
      <c r="B612" s="27">
        <v>46083</v>
      </c>
      <c r="C612" s="95">
        <v>828180.46999999986</v>
      </c>
      <c r="D612" s="230">
        <v>0</v>
      </c>
      <c r="E612" s="95">
        <f t="shared" si="81"/>
        <v>828180.46999999986</v>
      </c>
      <c r="F612" s="236">
        <v>68818.016949152545</v>
      </c>
      <c r="G612" s="95">
        <f t="shared" si="78"/>
        <v>12.034355343483904</v>
      </c>
      <c r="H612" s="65">
        <f t="shared" si="82"/>
        <v>1.8721459412316399E-2</v>
      </c>
      <c r="I612" s="72">
        <f t="shared" si="79"/>
        <v>4.1527288563965037E-2</v>
      </c>
      <c r="J612" s="207">
        <v>190.18</v>
      </c>
      <c r="K612" s="229">
        <f t="shared" si="83"/>
        <v>-3.4583944665688149E-3</v>
      </c>
      <c r="L612" s="229">
        <f t="shared" si="80"/>
        <v>2.3739032136512961E-2</v>
      </c>
      <c r="M612" s="98"/>
      <c r="N612" s="98"/>
    </row>
    <row r="613" spans="1:14" x14ac:dyDescent="0.25">
      <c r="A613">
        <v>1</v>
      </c>
      <c r="B613" s="27">
        <v>46084</v>
      </c>
      <c r="C613" s="95">
        <v>804997.47999999986</v>
      </c>
      <c r="D613" s="230">
        <v>0</v>
      </c>
      <c r="E613" s="95">
        <f t="shared" si="81"/>
        <v>804997.47999999986</v>
      </c>
      <c r="F613" s="236">
        <v>68818.016949152545</v>
      </c>
      <c r="G613" s="95">
        <f t="shared" si="78"/>
        <v>11.6974814981197</v>
      </c>
      <c r="H613" s="65">
        <f t="shared" si="82"/>
        <v>-2.7992678938685955E-2</v>
      </c>
      <c r="I613" s="72">
        <f t="shared" si="79"/>
        <v>1.2372149569313873E-2</v>
      </c>
      <c r="J613" s="207">
        <v>187.21</v>
      </c>
      <c r="K613" s="229">
        <f t="shared" si="83"/>
        <v>-1.5616784099274361E-2</v>
      </c>
      <c r="L613" s="229">
        <f t="shared" si="80"/>
        <v>7.7515206976368489E-3</v>
      </c>
      <c r="M613" s="98"/>
      <c r="N613" s="98"/>
    </row>
    <row r="614" spans="1:14" x14ac:dyDescent="0.25">
      <c r="A614">
        <v>1</v>
      </c>
      <c r="B614" s="27">
        <v>46085</v>
      </c>
      <c r="C614" s="95">
        <v>814151.42</v>
      </c>
      <c r="D614" s="230">
        <v>0</v>
      </c>
      <c r="E614" s="95">
        <f t="shared" si="81"/>
        <v>814151.42</v>
      </c>
      <c r="F614" s="236">
        <v>68818.016949152545</v>
      </c>
      <c r="G614" s="95">
        <f t="shared" si="78"/>
        <v>11.830498117979058</v>
      </c>
      <c r="H614" s="65">
        <f t="shared" si="82"/>
        <v>1.1371389634661E-2</v>
      </c>
      <c r="I614" s="72">
        <f t="shared" si="79"/>
        <v>2.3884227737345887E-2</v>
      </c>
      <c r="J614" s="207">
        <v>188.82</v>
      </c>
      <c r="K614" s="229">
        <f t="shared" si="83"/>
        <v>8.5999679504298321E-3</v>
      </c>
      <c r="L614" s="229">
        <f t="shared" si="80"/>
        <v>1.6418151477633591E-2</v>
      </c>
      <c r="M614" s="98"/>
      <c r="N614" s="98"/>
    </row>
    <row r="615" spans="1:14" x14ac:dyDescent="0.25">
      <c r="A615">
        <v>1</v>
      </c>
      <c r="B615" s="27">
        <v>46086</v>
      </c>
      <c r="C615" s="95">
        <v>800106.91</v>
      </c>
      <c r="D615" s="230">
        <v>0</v>
      </c>
      <c r="E615" s="95">
        <f t="shared" si="81"/>
        <v>800106.91</v>
      </c>
      <c r="F615" s="236">
        <v>68818.016949152545</v>
      </c>
      <c r="G615" s="95">
        <f t="shared" si="78"/>
        <v>11.626416242002058</v>
      </c>
      <c r="H615" s="65">
        <f t="shared" si="82"/>
        <v>-1.725048885869418E-2</v>
      </c>
      <c r="I615" s="72">
        <f t="shared" si="79"/>
        <v>6.2217242741702261E-3</v>
      </c>
      <c r="J615" s="207">
        <v>187.09</v>
      </c>
      <c r="K615" s="229">
        <f t="shared" si="83"/>
        <v>-9.1621650248914221E-3</v>
      </c>
      <c r="L615" s="229">
        <f t="shared" si="80"/>
        <v>7.1055606395005189E-3</v>
      </c>
      <c r="M615" s="98"/>
      <c r="N615" s="98"/>
    </row>
    <row r="616" spans="1:14" x14ac:dyDescent="0.25">
      <c r="A616">
        <v>1</v>
      </c>
      <c r="B616" s="27">
        <v>46087</v>
      </c>
      <c r="C616" s="95">
        <v>766822.15</v>
      </c>
      <c r="D616" s="230">
        <v>0</v>
      </c>
      <c r="E616" s="95">
        <f t="shared" si="81"/>
        <v>766822.15</v>
      </c>
      <c r="F616" s="236">
        <v>68818.016949152545</v>
      </c>
      <c r="G616" s="95">
        <f t="shared" ref="G616:G647" si="84">E616/F616</f>
        <v>11.142752784733403</v>
      </c>
      <c r="H616" s="65">
        <f t="shared" si="82"/>
        <v>-4.1600390627797523E-2</v>
      </c>
      <c r="I616" s="72">
        <f t="shared" ref="I616:I647" si="85">G616/$G$552-1</f>
        <v>-3.5637492513811209E-2</v>
      </c>
      <c r="J616" s="207">
        <v>184.98</v>
      </c>
      <c r="K616" s="229">
        <f t="shared" si="83"/>
        <v>-1.127799454807854E-2</v>
      </c>
      <c r="L616" s="229">
        <f t="shared" ref="L616:L647" si="86">J616/$J$552-1</f>
        <v>-4.2525703827314132E-3</v>
      </c>
      <c r="M616" s="98"/>
      <c r="N616" s="98"/>
    </row>
    <row r="617" spans="1:14" x14ac:dyDescent="0.25">
      <c r="A617">
        <v>1</v>
      </c>
      <c r="B617" s="27">
        <v>46088</v>
      </c>
      <c r="C617" s="95">
        <v>766822.15</v>
      </c>
      <c r="D617" s="230">
        <v>0</v>
      </c>
      <c r="E617" s="95">
        <f t="shared" ref="E617:E648" si="87">C617-D617</f>
        <v>766822.15</v>
      </c>
      <c r="F617" s="236">
        <v>68818.016949152545</v>
      </c>
      <c r="G617" s="95">
        <f t="shared" si="84"/>
        <v>11.142752784733403</v>
      </c>
      <c r="H617" s="65">
        <f t="shared" ref="H617:H648" si="88">G617/G616-1</f>
        <v>0</v>
      </c>
      <c r="I617" s="72">
        <f t="shared" si="85"/>
        <v>-3.5637492513811209E-2</v>
      </c>
      <c r="J617" s="207">
        <v>184.98</v>
      </c>
      <c r="K617" s="229">
        <f t="shared" ref="K617:K648" si="89">J617/J616-1</f>
        <v>0</v>
      </c>
      <c r="L617" s="229">
        <f t="shared" si="86"/>
        <v>-4.2525703827314132E-3</v>
      </c>
      <c r="M617" s="98"/>
      <c r="N617" s="98"/>
    </row>
    <row r="618" spans="1:14" x14ac:dyDescent="0.25">
      <c r="A618">
        <v>1</v>
      </c>
      <c r="B618" s="27">
        <v>46089</v>
      </c>
      <c r="C618" s="95">
        <v>766822.15</v>
      </c>
      <c r="D618" s="230">
        <v>0</v>
      </c>
      <c r="E618" s="95">
        <f t="shared" si="87"/>
        <v>766822.15</v>
      </c>
      <c r="F618" s="236">
        <v>68818.016949152545</v>
      </c>
      <c r="G618" s="95">
        <f t="shared" si="84"/>
        <v>11.142752784733403</v>
      </c>
      <c r="H618" s="65">
        <f t="shared" si="88"/>
        <v>0</v>
      </c>
      <c r="I618" s="72">
        <f t="shared" si="85"/>
        <v>-3.5637492513811209E-2</v>
      </c>
      <c r="J618" s="207">
        <v>184.98</v>
      </c>
      <c r="K618" s="229">
        <f t="shared" si="89"/>
        <v>0</v>
      </c>
      <c r="L618" s="229">
        <f t="shared" si="86"/>
        <v>-4.2525703827314132E-3</v>
      </c>
      <c r="M618" s="98"/>
      <c r="N618" s="98"/>
    </row>
    <row r="619" spans="1:14" x14ac:dyDescent="0.25">
      <c r="A619">
        <v>1</v>
      </c>
      <c r="B619" s="27">
        <v>46090</v>
      </c>
      <c r="C619" s="95">
        <v>793240.60000000009</v>
      </c>
      <c r="D619" s="230">
        <v>0</v>
      </c>
      <c r="E619" s="95">
        <f t="shared" si="87"/>
        <v>793240.60000000009</v>
      </c>
      <c r="F619" s="236">
        <v>68818.016949152545</v>
      </c>
      <c r="G619" s="95">
        <f t="shared" si="84"/>
        <v>11.526641353035506</v>
      </c>
      <c r="H619" s="65">
        <f t="shared" si="88"/>
        <v>3.4451860838918158E-2</v>
      </c>
      <c r="I619" s="72">
        <f t="shared" si="85"/>
        <v>-2.4134096076269262E-3</v>
      </c>
      <c r="J619" s="207">
        <v>186.45</v>
      </c>
      <c r="K619" s="229">
        <f t="shared" si="89"/>
        <v>7.9468050600064455E-3</v>
      </c>
      <c r="L619" s="229">
        <f t="shared" si="86"/>
        <v>3.6604403294395738E-3</v>
      </c>
      <c r="M619" s="98"/>
      <c r="N619" s="98"/>
    </row>
    <row r="620" spans="1:14" x14ac:dyDescent="0.25">
      <c r="A620">
        <v>1</v>
      </c>
      <c r="B620" s="27">
        <v>46091</v>
      </c>
      <c r="C620" s="95">
        <v>799970.64999999991</v>
      </c>
      <c r="D620" s="230">
        <v>0</v>
      </c>
      <c r="E620" s="95">
        <f t="shared" si="87"/>
        <v>799970.64999999991</v>
      </c>
      <c r="F620" s="236">
        <v>68818.016949152545</v>
      </c>
      <c r="G620" s="95">
        <f t="shared" si="84"/>
        <v>11.624436237258521</v>
      </c>
      <c r="H620" s="65">
        <f t="shared" si="88"/>
        <v>8.4842480326901004E-3</v>
      </c>
      <c r="I620" s="72">
        <f t="shared" si="85"/>
        <v>6.0503624593475358E-3</v>
      </c>
      <c r="J620" s="207">
        <v>186.36</v>
      </c>
      <c r="K620" s="229">
        <f t="shared" si="89"/>
        <v>-4.8270313757026173E-4</v>
      </c>
      <c r="L620" s="229">
        <f t="shared" si="86"/>
        <v>3.1759702858373817E-3</v>
      </c>
      <c r="M620" s="98"/>
      <c r="N620" s="98"/>
    </row>
    <row r="621" spans="1:14" x14ac:dyDescent="0.25">
      <c r="A621">
        <v>1</v>
      </c>
      <c r="B621" s="27">
        <v>46092</v>
      </c>
      <c r="C621" s="95">
        <v>801087.62999999989</v>
      </c>
      <c r="D621" s="230">
        <v>0</v>
      </c>
      <c r="E621" s="95">
        <f t="shared" si="87"/>
        <v>801087.62999999989</v>
      </c>
      <c r="F621" s="236">
        <v>68818.016949152545</v>
      </c>
      <c r="G621" s="95">
        <f t="shared" si="84"/>
        <v>11.640667161215909</v>
      </c>
      <c r="H621" s="65">
        <f t="shared" si="88"/>
        <v>1.3962762258838968E-3</v>
      </c>
      <c r="I621" s="72">
        <f t="shared" si="85"/>
        <v>7.4550866624913947E-3</v>
      </c>
      <c r="J621" s="207">
        <v>186.02</v>
      </c>
      <c r="K621" s="229">
        <f t="shared" si="89"/>
        <v>-1.8244258424554571E-3</v>
      </c>
      <c r="L621" s="229">
        <f t="shared" si="86"/>
        <v>1.3457501211175948E-3</v>
      </c>
      <c r="M621" s="98"/>
      <c r="N621" s="98"/>
    </row>
    <row r="622" spans="1:14" x14ac:dyDescent="0.25">
      <c r="A622">
        <v>1</v>
      </c>
      <c r="B622" s="27">
        <v>46093</v>
      </c>
      <c r="C622" s="95">
        <v>780575.13902899972</v>
      </c>
      <c r="D622" s="230">
        <v>0</v>
      </c>
      <c r="E622" s="95">
        <f t="shared" si="87"/>
        <v>780575.13902899972</v>
      </c>
      <c r="F622" s="236">
        <v>68818.016949152545</v>
      </c>
      <c r="G622" s="95">
        <f t="shared" si="84"/>
        <v>11.342598546623945</v>
      </c>
      <c r="H622" s="65">
        <f t="shared" si="88"/>
        <v>-2.5605801666167549E-2</v>
      </c>
      <c r="I622" s="72">
        <f t="shared" si="85"/>
        <v>-1.8341608474159887E-2</v>
      </c>
      <c r="J622" s="207">
        <v>183.15</v>
      </c>
      <c r="K622" s="229">
        <f t="shared" si="89"/>
        <v>-1.5428448553919005E-2</v>
      </c>
      <c r="L622" s="229">
        <f t="shared" si="86"/>
        <v>-1.4103461269311501E-2</v>
      </c>
      <c r="M622" s="98"/>
      <c r="N622" s="98"/>
    </row>
    <row r="623" spans="1:14" x14ac:dyDescent="0.25">
      <c r="A623">
        <v>1</v>
      </c>
      <c r="B623" s="27">
        <v>46094</v>
      </c>
      <c r="C623" s="95">
        <v>778319.32902900001</v>
      </c>
      <c r="D623" s="230">
        <v>0</v>
      </c>
      <c r="E623" s="95">
        <f t="shared" si="87"/>
        <v>778319.32902900001</v>
      </c>
      <c r="F623" s="236">
        <v>68818.016949152545</v>
      </c>
      <c r="G623" s="95">
        <f t="shared" si="84"/>
        <v>11.309819194646012</v>
      </c>
      <c r="H623" s="65">
        <f t="shared" si="88"/>
        <v>-2.8899331879896906E-3</v>
      </c>
      <c r="I623" s="72">
        <f t="shared" si="85"/>
        <v>-2.1178535639099105E-2</v>
      </c>
      <c r="J623" s="207">
        <v>181.75</v>
      </c>
      <c r="K623" s="229">
        <f t="shared" si="89"/>
        <v>-7.6440076440076332E-3</v>
      </c>
      <c r="L623" s="229">
        <f t="shared" si="86"/>
        <v>-2.1639661947569611E-2</v>
      </c>
      <c r="M623" s="98"/>
      <c r="N623" s="98"/>
    </row>
    <row r="624" spans="1:14" x14ac:dyDescent="0.25">
      <c r="A624">
        <v>1</v>
      </c>
      <c r="B624" s="27">
        <v>46095</v>
      </c>
      <c r="C624" s="95">
        <v>778319.32902900001</v>
      </c>
      <c r="D624" s="230">
        <v>0</v>
      </c>
      <c r="E624" s="95">
        <f t="shared" si="87"/>
        <v>778319.32902900001</v>
      </c>
      <c r="F624" s="236">
        <v>68818.016949152545</v>
      </c>
      <c r="G624" s="95">
        <f t="shared" si="84"/>
        <v>11.309819194646012</v>
      </c>
      <c r="H624" s="65">
        <f t="shared" si="88"/>
        <v>0</v>
      </c>
      <c r="I624" s="72">
        <f t="shared" si="85"/>
        <v>-2.1178535639099105E-2</v>
      </c>
      <c r="J624" s="207">
        <v>181.75</v>
      </c>
      <c r="K624" s="229">
        <f t="shared" si="89"/>
        <v>0</v>
      </c>
      <c r="L624" s="229">
        <f t="shared" si="86"/>
        <v>-2.1639661947569611E-2</v>
      </c>
      <c r="M624" s="98"/>
      <c r="N624" s="98"/>
    </row>
    <row r="625" spans="1:14" x14ac:dyDescent="0.25">
      <c r="A625">
        <v>1</v>
      </c>
      <c r="B625" s="27">
        <v>46096</v>
      </c>
      <c r="C625" s="95">
        <v>778319.32902900001</v>
      </c>
      <c r="D625" s="230">
        <v>0</v>
      </c>
      <c r="E625" s="95">
        <f t="shared" si="87"/>
        <v>778319.32902900001</v>
      </c>
      <c r="F625" s="236">
        <v>68818.016949152545</v>
      </c>
      <c r="G625" s="95">
        <f t="shared" si="84"/>
        <v>11.309819194646012</v>
      </c>
      <c r="H625" s="65">
        <f t="shared" si="88"/>
        <v>0</v>
      </c>
      <c r="I625" s="72">
        <f t="shared" si="85"/>
        <v>-2.1178535639099105E-2</v>
      </c>
      <c r="J625" s="207">
        <v>181.75</v>
      </c>
      <c r="K625" s="229">
        <f t="shared" si="89"/>
        <v>0</v>
      </c>
      <c r="L625" s="229">
        <f t="shared" si="86"/>
        <v>-2.1639661947569611E-2</v>
      </c>
      <c r="M625" s="98"/>
      <c r="N625" s="98"/>
    </row>
    <row r="626" spans="1:14" x14ac:dyDescent="0.25">
      <c r="A626">
        <v>1</v>
      </c>
      <c r="B626" s="27">
        <v>46097</v>
      </c>
      <c r="C626" s="95">
        <v>799413.45302899997</v>
      </c>
      <c r="D626" s="230">
        <v>0</v>
      </c>
      <c r="E626" s="95">
        <f t="shared" si="87"/>
        <v>799413.45302899997</v>
      </c>
      <c r="F626" s="236">
        <v>68818.016949152545</v>
      </c>
      <c r="G626" s="95">
        <f t="shared" si="84"/>
        <v>11.616339564385607</v>
      </c>
      <c r="H626" s="65">
        <f t="shared" si="88"/>
        <v>2.7102145884409845E-2</v>
      </c>
      <c r="I626" s="72">
        <f t="shared" si="85"/>
        <v>5.3496264828016837E-3</v>
      </c>
      <c r="J626" s="207">
        <v>184.06</v>
      </c>
      <c r="K626" s="229">
        <f t="shared" si="89"/>
        <v>1.2709766162310787E-2</v>
      </c>
      <c r="L626" s="229">
        <f t="shared" si="86"/>
        <v>-9.2049308284438691E-3</v>
      </c>
      <c r="M626" s="98"/>
      <c r="N626" s="98"/>
    </row>
    <row r="627" spans="1:14" x14ac:dyDescent="0.25">
      <c r="A627">
        <v>1</v>
      </c>
      <c r="B627" s="27">
        <v>46098</v>
      </c>
      <c r="C627" s="95">
        <v>802061.72902899981</v>
      </c>
      <c r="D627" s="230">
        <v>0</v>
      </c>
      <c r="E627" s="95">
        <f t="shared" si="87"/>
        <v>802061.72902899981</v>
      </c>
      <c r="F627" s="236">
        <v>68818.016949152545</v>
      </c>
      <c r="G627" s="95">
        <f t="shared" si="84"/>
        <v>11.65482187058104</v>
      </c>
      <c r="H627" s="65">
        <f t="shared" si="88"/>
        <v>3.3127738718499167E-3</v>
      </c>
      <c r="I627" s="72">
        <f t="shared" si="85"/>
        <v>8.6801224574879488E-3</v>
      </c>
      <c r="J627" s="207">
        <v>184.49</v>
      </c>
      <c r="K627" s="229">
        <f t="shared" si="89"/>
        <v>2.3361947191133936E-3</v>
      </c>
      <c r="L627" s="229">
        <f t="shared" si="86"/>
        <v>-6.8902406201216682E-3</v>
      </c>
      <c r="M627" s="98"/>
      <c r="N627" s="98"/>
    </row>
    <row r="628" spans="1:14" x14ac:dyDescent="0.25">
      <c r="A628">
        <v>1</v>
      </c>
      <c r="B628" s="27">
        <v>46099</v>
      </c>
      <c r="C628" s="95">
        <v>798309.15902899997</v>
      </c>
      <c r="D628" s="230">
        <v>0</v>
      </c>
      <c r="E628" s="95">
        <f t="shared" si="87"/>
        <v>798309.15902899997</v>
      </c>
      <c r="F628" s="236">
        <v>68818.016949152545</v>
      </c>
      <c r="G628" s="95">
        <f t="shared" si="84"/>
        <v>11.60029298168887</v>
      </c>
      <c r="H628" s="65">
        <f t="shared" si="88"/>
        <v>-4.678654851843822E-3</v>
      </c>
      <c r="I628" s="72">
        <f t="shared" si="85"/>
        <v>3.9608563085937742E-3</v>
      </c>
      <c r="J628" s="207">
        <v>181.77</v>
      </c>
      <c r="K628" s="229">
        <f t="shared" si="89"/>
        <v>-1.4743346522846812E-2</v>
      </c>
      <c r="L628" s="229">
        <f t="shared" si="86"/>
        <v>-2.1532001937880185E-2</v>
      </c>
      <c r="M628" s="98"/>
      <c r="N628" s="98"/>
    </row>
    <row r="629" spans="1:14" x14ac:dyDescent="0.25">
      <c r="A629">
        <v>1</v>
      </c>
      <c r="B629" s="27">
        <v>46100</v>
      </c>
      <c r="C629" s="95">
        <v>810457.11922900006</v>
      </c>
      <c r="D629" s="230">
        <v>0</v>
      </c>
      <c r="E629" s="95">
        <f t="shared" si="87"/>
        <v>810457.11922900006</v>
      </c>
      <c r="F629" s="236">
        <v>68818.016949152545</v>
      </c>
      <c r="G629" s="95">
        <f t="shared" si="84"/>
        <v>11.776815943822113</v>
      </c>
      <c r="H629" s="65">
        <f t="shared" si="88"/>
        <v>1.5217112396375354E-2</v>
      </c>
      <c r="I629" s="72">
        <f t="shared" si="85"/>
        <v>1.9238241500602937E-2</v>
      </c>
      <c r="J629" s="207">
        <v>181.37</v>
      </c>
      <c r="K629" s="229">
        <f t="shared" si="89"/>
        <v>-2.2005831545359733E-3</v>
      </c>
      <c r="L629" s="229">
        <f t="shared" si="86"/>
        <v>-2.3685202131668248E-2</v>
      </c>
      <c r="M629" s="98"/>
      <c r="N629" s="98"/>
    </row>
    <row r="630" spans="1:14" x14ac:dyDescent="0.25">
      <c r="A630">
        <v>1</v>
      </c>
      <c r="B630" s="27">
        <v>46101</v>
      </c>
      <c r="C630" s="95">
        <v>779104.94902900001</v>
      </c>
      <c r="D630" s="230">
        <v>0</v>
      </c>
      <c r="E630" s="95">
        <f t="shared" si="87"/>
        <v>779104.94902900001</v>
      </c>
      <c r="F630" s="236">
        <v>68818.016949152545</v>
      </c>
      <c r="G630" s="95">
        <f t="shared" si="84"/>
        <v>11.32123510046295</v>
      </c>
      <c r="H630" s="65">
        <f t="shared" si="88"/>
        <v>-3.8684551540278722E-2</v>
      </c>
      <c r="I630" s="72">
        <f t="shared" si="85"/>
        <v>-2.0190532784550297E-2</v>
      </c>
      <c r="J630" s="207">
        <v>178</v>
      </c>
      <c r="K630" s="229">
        <f t="shared" si="89"/>
        <v>-1.8580801676131742E-2</v>
      </c>
      <c r="L630" s="229">
        <f t="shared" si="86"/>
        <v>-4.1825913764332312E-2</v>
      </c>
      <c r="M630" s="98"/>
      <c r="N630" s="98"/>
    </row>
    <row r="631" spans="1:14" x14ac:dyDescent="0.25">
      <c r="A631">
        <v>1</v>
      </c>
      <c r="B631" s="27">
        <v>46102</v>
      </c>
      <c r="C631" s="95">
        <v>779104.94902900001</v>
      </c>
      <c r="D631" s="230">
        <v>0</v>
      </c>
      <c r="E631" s="95">
        <f t="shared" si="87"/>
        <v>779104.94902900001</v>
      </c>
      <c r="F631" s="236">
        <v>68818.016949152545</v>
      </c>
      <c r="G631" s="95">
        <f t="shared" si="84"/>
        <v>11.32123510046295</v>
      </c>
      <c r="H631" s="65">
        <f t="shared" si="88"/>
        <v>0</v>
      </c>
      <c r="I631" s="72">
        <f t="shared" si="85"/>
        <v>-2.0190532784550297E-2</v>
      </c>
      <c r="J631" s="207">
        <v>178</v>
      </c>
      <c r="K631" s="229">
        <f t="shared" si="89"/>
        <v>0</v>
      </c>
      <c r="L631" s="229">
        <f t="shared" si="86"/>
        <v>-4.1825913764332312E-2</v>
      </c>
      <c r="M631" s="98"/>
      <c r="N631" s="98"/>
    </row>
    <row r="632" spans="1:14" x14ac:dyDescent="0.25">
      <c r="A632">
        <v>1</v>
      </c>
      <c r="B632" s="27">
        <v>46103</v>
      </c>
      <c r="C632" s="95">
        <v>779104.94902900001</v>
      </c>
      <c r="D632" s="230">
        <v>0</v>
      </c>
      <c r="E632" s="95">
        <f t="shared" si="87"/>
        <v>779104.94902900001</v>
      </c>
      <c r="F632" s="236">
        <v>68818.016949152545</v>
      </c>
      <c r="G632" s="95">
        <f t="shared" si="84"/>
        <v>11.32123510046295</v>
      </c>
      <c r="H632" s="65">
        <f t="shared" si="88"/>
        <v>0</v>
      </c>
      <c r="I632" s="72">
        <f t="shared" si="85"/>
        <v>-2.0190532784550297E-2</v>
      </c>
      <c r="J632" s="207">
        <v>178</v>
      </c>
      <c r="K632" s="229">
        <f t="shared" si="89"/>
        <v>0</v>
      </c>
      <c r="L632" s="229">
        <f t="shared" si="86"/>
        <v>-4.1825913764332312E-2</v>
      </c>
      <c r="M632" s="98"/>
      <c r="N632" s="98"/>
    </row>
    <row r="633" spans="1:14" x14ac:dyDescent="0.25">
      <c r="A633">
        <v>1</v>
      </c>
      <c r="B633" s="27">
        <v>46104</v>
      </c>
      <c r="C633" s="95">
        <v>792101.23402900004</v>
      </c>
      <c r="D633" s="230">
        <v>0</v>
      </c>
      <c r="E633" s="95">
        <f t="shared" si="87"/>
        <v>792101.23402900004</v>
      </c>
      <c r="F633" s="236">
        <v>68818.016949152545</v>
      </c>
      <c r="G633" s="95">
        <f t="shared" si="84"/>
        <v>11.510085136778333</v>
      </c>
      <c r="H633" s="65">
        <f t="shared" si="88"/>
        <v>1.6681045366477854E-2</v>
      </c>
      <c r="I633" s="72">
        <f t="shared" si="85"/>
        <v>-3.8462866114249428E-3</v>
      </c>
      <c r="J633" s="207">
        <v>180.54</v>
      </c>
      <c r="K633" s="229">
        <f t="shared" si="89"/>
        <v>1.4269662921348347E-2</v>
      </c>
      <c r="L633" s="229">
        <f t="shared" si="86"/>
        <v>-2.8153092533778401E-2</v>
      </c>
      <c r="M633" s="98"/>
      <c r="N633" s="98"/>
    </row>
    <row r="634" spans="1:14" x14ac:dyDescent="0.25">
      <c r="A634">
        <v>1</v>
      </c>
      <c r="B634" s="27">
        <v>46105</v>
      </c>
      <c r="C634" s="95">
        <v>801055.62902899983</v>
      </c>
      <c r="D634" s="230">
        <v>0</v>
      </c>
      <c r="E634" s="95">
        <f t="shared" si="87"/>
        <v>801055.62902899983</v>
      </c>
      <c r="F634" s="236">
        <v>68818.016949152545</v>
      </c>
      <c r="G634" s="95">
        <f t="shared" si="84"/>
        <v>11.640202152597254</v>
      </c>
      <c r="H634" s="65">
        <f t="shared" si="88"/>
        <v>1.1304609329357396E-2</v>
      </c>
      <c r="I634" s="72">
        <f t="shared" si="85"/>
        <v>7.4148419504214136E-3</v>
      </c>
      <c r="J634" s="207">
        <v>179.85</v>
      </c>
      <c r="K634" s="229">
        <f t="shared" si="89"/>
        <v>-3.8218677301429249E-3</v>
      </c>
      <c r="L634" s="229">
        <f t="shared" si="86"/>
        <v>-3.1867362868062687E-2</v>
      </c>
      <c r="M634" s="98"/>
      <c r="N634" s="98"/>
    </row>
    <row r="635" spans="1:14" x14ac:dyDescent="0.25">
      <c r="A635">
        <v>1</v>
      </c>
      <c r="B635" s="27">
        <v>46106</v>
      </c>
      <c r="C635" s="95">
        <v>811774.01902899996</v>
      </c>
      <c r="D635" s="230">
        <v>0</v>
      </c>
      <c r="E635" s="95">
        <f t="shared" si="87"/>
        <v>811774.01902899996</v>
      </c>
      <c r="F635" s="236">
        <v>68818.016949152545</v>
      </c>
      <c r="G635" s="95">
        <f t="shared" si="84"/>
        <v>11.795951918068114</v>
      </c>
      <c r="H635" s="65">
        <f t="shared" si="88"/>
        <v>1.3380331666843714E-2</v>
      </c>
      <c r="I635" s="72">
        <f t="shared" si="85"/>
        <v>2.0894386661819198E-2</v>
      </c>
      <c r="J635" s="207">
        <v>181.17</v>
      </c>
      <c r="K635" s="229">
        <f t="shared" si="89"/>
        <v>7.3394495412844041E-3</v>
      </c>
      <c r="L635" s="229">
        <f t="shared" si="86"/>
        <v>-2.476180222856228E-2</v>
      </c>
      <c r="M635" s="98"/>
      <c r="N635" s="98"/>
    </row>
    <row r="636" spans="1:14" x14ac:dyDescent="0.25">
      <c r="A636">
        <v>1</v>
      </c>
      <c r="B636" s="27">
        <v>46107</v>
      </c>
      <c r="C636" s="95">
        <v>772007.84902900003</v>
      </c>
      <c r="D636" s="230">
        <v>0</v>
      </c>
      <c r="E636" s="95">
        <f t="shared" si="87"/>
        <v>772007.84902900003</v>
      </c>
      <c r="F636" s="236">
        <v>68818.016949152545</v>
      </c>
      <c r="G636" s="95">
        <f t="shared" si="84"/>
        <v>11.21810658391119</v>
      </c>
      <c r="H636" s="65">
        <f t="shared" si="88"/>
        <v>-4.8986748858464435E-2</v>
      </c>
      <c r="I636" s="72">
        <f t="shared" si="85"/>
        <v>-2.9115910268599499E-2</v>
      </c>
      <c r="J636" s="207">
        <v>178.04</v>
      </c>
      <c r="K636" s="229">
        <f t="shared" si="89"/>
        <v>-1.727659104708279E-2</v>
      </c>
      <c r="L636" s="229">
        <f t="shared" si="86"/>
        <v>-4.1610593744953572E-2</v>
      </c>
      <c r="M636" s="98"/>
      <c r="N636" s="98"/>
    </row>
    <row r="637" spans="1:14" x14ac:dyDescent="0.25">
      <c r="A637">
        <v>1</v>
      </c>
      <c r="B637" s="27">
        <v>46108</v>
      </c>
      <c r="C637" s="95">
        <v>762331.73902899993</v>
      </c>
      <c r="D637" s="230">
        <v>0</v>
      </c>
      <c r="E637" s="95">
        <f t="shared" si="87"/>
        <v>762331.73902899993</v>
      </c>
      <c r="F637" s="236">
        <v>68818.016949152545</v>
      </c>
      <c r="G637" s="95">
        <f t="shared" si="84"/>
        <v>11.077502270840828</v>
      </c>
      <c r="H637" s="65">
        <f t="shared" si="88"/>
        <v>-1.2533693811753843E-2</v>
      </c>
      <c r="I637" s="72">
        <f t="shared" si="85"/>
        <v>-4.1284674175996128E-2</v>
      </c>
      <c r="J637" s="207">
        <v>175.42</v>
      </c>
      <c r="K637" s="229">
        <f t="shared" si="89"/>
        <v>-1.4715794203549737E-2</v>
      </c>
      <c r="L637" s="229">
        <f t="shared" si="86"/>
        <v>-5.5714055014265074E-2</v>
      </c>
      <c r="M637" s="98"/>
      <c r="N637" s="98"/>
    </row>
    <row r="638" spans="1:14" x14ac:dyDescent="0.25">
      <c r="A638">
        <v>1</v>
      </c>
      <c r="B638" s="27">
        <v>46109</v>
      </c>
      <c r="C638" s="95">
        <v>762331.73902899993</v>
      </c>
      <c r="D638" s="230">
        <v>0</v>
      </c>
      <c r="E638" s="95">
        <f t="shared" si="87"/>
        <v>762331.73902899993</v>
      </c>
      <c r="F638" s="236">
        <v>68818.016949152545</v>
      </c>
      <c r="G638" s="95">
        <f t="shared" si="84"/>
        <v>11.077502270840828</v>
      </c>
      <c r="H638" s="65">
        <f t="shared" si="88"/>
        <v>0</v>
      </c>
      <c r="I638" s="72">
        <f t="shared" si="85"/>
        <v>-4.1284674175996128E-2</v>
      </c>
      <c r="J638" s="207">
        <v>175.42</v>
      </c>
      <c r="K638" s="229">
        <f t="shared" si="89"/>
        <v>0</v>
      </c>
      <c r="L638" s="229">
        <f t="shared" si="86"/>
        <v>-5.5714055014265074E-2</v>
      </c>
      <c r="M638" s="98"/>
      <c r="N638" s="98"/>
    </row>
    <row r="639" spans="1:14" x14ac:dyDescent="0.25">
      <c r="A639">
        <v>1</v>
      </c>
      <c r="B639" s="27">
        <v>46110</v>
      </c>
      <c r="C639" s="95">
        <v>762331.73902899993</v>
      </c>
      <c r="D639" s="230">
        <v>0</v>
      </c>
      <c r="E639" s="95">
        <f t="shared" si="87"/>
        <v>762331.73902899993</v>
      </c>
      <c r="F639" s="236">
        <v>68818.016949152545</v>
      </c>
      <c r="G639" s="95">
        <f t="shared" si="84"/>
        <v>11.077502270840828</v>
      </c>
      <c r="H639" s="65">
        <f t="shared" si="88"/>
        <v>0</v>
      </c>
      <c r="I639" s="72">
        <f t="shared" si="85"/>
        <v>-4.1284674175996128E-2</v>
      </c>
      <c r="J639" s="207">
        <v>175.42</v>
      </c>
      <c r="K639" s="229">
        <f t="shared" si="89"/>
        <v>0</v>
      </c>
      <c r="L639" s="229">
        <f t="shared" si="86"/>
        <v>-5.5714055014265074E-2</v>
      </c>
      <c r="M639" s="98"/>
      <c r="N639" s="98"/>
    </row>
    <row r="640" spans="1:14" x14ac:dyDescent="0.25">
      <c r="A640">
        <v>1</v>
      </c>
      <c r="B640" s="27">
        <v>46111</v>
      </c>
      <c r="C640" s="95">
        <v>742824.98902899993</v>
      </c>
      <c r="D640" s="230">
        <v>0</v>
      </c>
      <c r="E640" s="95">
        <f t="shared" si="87"/>
        <v>742824.98902899993</v>
      </c>
      <c r="F640" s="236">
        <v>68818.016949152545</v>
      </c>
      <c r="G640" s="95">
        <f t="shared" si="84"/>
        <v>10.794048157154105</v>
      </c>
      <c r="H640" s="65">
        <f t="shared" si="88"/>
        <v>-2.5588269517475615E-2</v>
      </c>
      <c r="I640" s="72">
        <f t="shared" si="85"/>
        <v>-6.58165403237152E-2</v>
      </c>
      <c r="J640" s="207">
        <v>174.94</v>
      </c>
      <c r="K640" s="229">
        <f t="shared" si="89"/>
        <v>-2.7362900467449158E-3</v>
      </c>
      <c r="L640" s="229">
        <f t="shared" si="86"/>
        <v>-5.8297895246810616E-2</v>
      </c>
      <c r="M640" s="98"/>
      <c r="N640" s="98"/>
    </row>
    <row r="641" spans="1:14" x14ac:dyDescent="0.25">
      <c r="A641">
        <v>1</v>
      </c>
      <c r="B641" s="27">
        <v>46112</v>
      </c>
      <c r="C641" s="95">
        <v>782131.81902899989</v>
      </c>
      <c r="D641" s="230">
        <v>0</v>
      </c>
      <c r="E641" s="95">
        <f t="shared" si="87"/>
        <v>782131.81902899989</v>
      </c>
      <c r="F641" s="236">
        <v>68818.016949152545</v>
      </c>
      <c r="G641" s="95">
        <f t="shared" si="84"/>
        <v>11.365218785756241</v>
      </c>
      <c r="H641" s="65">
        <f t="shared" si="88"/>
        <v>5.2915330771761804E-2</v>
      </c>
      <c r="I641" s="72">
        <f t="shared" si="85"/>
        <v>-1.6383913553435714E-2</v>
      </c>
      <c r="J641" s="207">
        <v>180.02</v>
      </c>
      <c r="K641" s="229">
        <f t="shared" si="89"/>
        <v>2.9038527495141242E-2</v>
      </c>
      <c r="L641" s="229">
        <f t="shared" si="86"/>
        <v>-3.0952252785702794E-2</v>
      </c>
      <c r="M641" s="98"/>
      <c r="N641" s="98"/>
    </row>
    <row r="642" spans="1:14" x14ac:dyDescent="0.25">
      <c r="A642">
        <v>2</v>
      </c>
      <c r="B642" s="27">
        <v>46113</v>
      </c>
      <c r="C642" s="95">
        <v>802663.7990290001</v>
      </c>
      <c r="D642" s="230">
        <v>0</v>
      </c>
      <c r="E642" s="95">
        <f t="shared" si="87"/>
        <v>802663.7990290001</v>
      </c>
      <c r="F642" s="236">
        <v>68818.016949152545</v>
      </c>
      <c r="G642" s="95">
        <f t="shared" si="84"/>
        <v>11.663570596956651</v>
      </c>
      <c r="H642" s="65">
        <f t="shared" si="88"/>
        <v>2.6251303808979776E-2</v>
      </c>
      <c r="I642" s="72">
        <f t="shared" si="85"/>
        <v>9.437291163272743E-3</v>
      </c>
      <c r="J642" s="207">
        <v>181.81</v>
      </c>
      <c r="K642" s="229">
        <f t="shared" si="89"/>
        <v>9.9433396289301257E-3</v>
      </c>
      <c r="L642" s="229">
        <f t="shared" si="86"/>
        <v>-2.1316681918501446E-2</v>
      </c>
      <c r="M642" s="98"/>
      <c r="N642" s="98"/>
    </row>
    <row r="643" spans="1:14" x14ac:dyDescent="0.25">
      <c r="A643">
        <v>2</v>
      </c>
      <c r="B643" s="27">
        <v>46114</v>
      </c>
      <c r="C643" s="95">
        <v>814507.06902899989</v>
      </c>
      <c r="D643" s="230">
        <v>0</v>
      </c>
      <c r="E643" s="95">
        <f t="shared" si="87"/>
        <v>814507.06902899989</v>
      </c>
      <c r="F643" s="236">
        <v>68818.016949152545</v>
      </c>
      <c r="G643" s="95">
        <f t="shared" si="84"/>
        <v>11.835666081904298</v>
      </c>
      <c r="H643" s="65">
        <f t="shared" si="88"/>
        <v>1.4754957199174523E-2</v>
      </c>
      <c r="I643" s="72">
        <f t="shared" si="85"/>
        <v>2.433149518963762E-2</v>
      </c>
      <c r="J643" s="207">
        <v>181.78</v>
      </c>
      <c r="K643" s="229">
        <f t="shared" si="89"/>
        <v>-1.6500742533409607E-4</v>
      </c>
      <c r="L643" s="229">
        <f t="shared" si="86"/>
        <v>-2.1478171933035473E-2</v>
      </c>
      <c r="M643" s="98"/>
      <c r="N643" s="98"/>
    </row>
    <row r="644" spans="1:14" x14ac:dyDescent="0.25">
      <c r="A644">
        <v>2</v>
      </c>
      <c r="B644" s="27">
        <v>46115</v>
      </c>
      <c r="C644" s="95">
        <v>814507.06902899989</v>
      </c>
      <c r="D644" s="230">
        <v>0</v>
      </c>
      <c r="E644" s="95">
        <f t="shared" si="87"/>
        <v>814507.06902899989</v>
      </c>
      <c r="F644" s="236">
        <v>68818.016949152545</v>
      </c>
      <c r="G644" s="95">
        <f t="shared" si="84"/>
        <v>11.835666081904298</v>
      </c>
      <c r="H644" s="65">
        <f t="shared" si="88"/>
        <v>0</v>
      </c>
      <c r="I644" s="72">
        <f t="shared" si="85"/>
        <v>2.433149518963762E-2</v>
      </c>
      <c r="J644" s="207">
        <v>181.78</v>
      </c>
      <c r="K644" s="229">
        <f t="shared" si="89"/>
        <v>0</v>
      </c>
      <c r="L644" s="229">
        <f t="shared" si="86"/>
        <v>-2.1478171933035473E-2</v>
      </c>
      <c r="M644" s="98"/>
      <c r="N644" s="98"/>
    </row>
    <row r="645" spans="1:14" x14ac:dyDescent="0.25">
      <c r="A645">
        <v>2</v>
      </c>
      <c r="B645" s="27">
        <v>46116</v>
      </c>
      <c r="C645" s="95">
        <v>814507.06902899989</v>
      </c>
      <c r="D645" s="230">
        <v>0</v>
      </c>
      <c r="E645" s="95">
        <f t="shared" si="87"/>
        <v>814507.06902899989</v>
      </c>
      <c r="F645" s="236">
        <v>68818.016949152545</v>
      </c>
      <c r="G645" s="95">
        <f t="shared" si="84"/>
        <v>11.835666081904298</v>
      </c>
      <c r="H645" s="65">
        <f t="shared" si="88"/>
        <v>0</v>
      </c>
      <c r="I645" s="72">
        <f t="shared" si="85"/>
        <v>2.433149518963762E-2</v>
      </c>
      <c r="J645" s="207">
        <v>181.78</v>
      </c>
      <c r="K645" s="229">
        <f t="shared" si="89"/>
        <v>0</v>
      </c>
      <c r="L645" s="229">
        <f t="shared" si="86"/>
        <v>-2.1478171933035473E-2</v>
      </c>
      <c r="M645" s="98"/>
      <c r="N645" s="98"/>
    </row>
    <row r="646" spans="1:14" x14ac:dyDescent="0.25">
      <c r="A646">
        <v>2</v>
      </c>
      <c r="B646" s="27">
        <v>46117</v>
      </c>
      <c r="C646" s="95">
        <v>814507.06902899989</v>
      </c>
      <c r="D646" s="230">
        <v>0</v>
      </c>
      <c r="E646" s="95">
        <f t="shared" si="87"/>
        <v>814507.06902899989</v>
      </c>
      <c r="F646" s="236">
        <v>68818.016949152545</v>
      </c>
      <c r="G646" s="95">
        <f t="shared" si="84"/>
        <v>11.835666081904298</v>
      </c>
      <c r="H646" s="65">
        <f t="shared" si="88"/>
        <v>0</v>
      </c>
      <c r="I646" s="72">
        <f t="shared" si="85"/>
        <v>2.433149518963762E-2</v>
      </c>
      <c r="J646" s="207">
        <v>181.78</v>
      </c>
      <c r="K646" s="229">
        <f t="shared" si="89"/>
        <v>0</v>
      </c>
      <c r="L646" s="229">
        <f t="shared" si="86"/>
        <v>-2.1478171933035473E-2</v>
      </c>
      <c r="M646" s="98"/>
      <c r="N646" s="98"/>
    </row>
    <row r="647" spans="1:14" x14ac:dyDescent="0.25">
      <c r="A647">
        <v>2</v>
      </c>
      <c r="B647" s="27">
        <v>46118</v>
      </c>
      <c r="C647" s="95">
        <v>811598.29902899975</v>
      </c>
      <c r="D647" s="230">
        <v>0</v>
      </c>
      <c r="E647" s="95">
        <f t="shared" si="87"/>
        <v>811598.29902899975</v>
      </c>
      <c r="F647" s="236">
        <v>68818.016949152545</v>
      </c>
      <c r="G647" s="95">
        <f t="shared" si="84"/>
        <v>11.793398516970695</v>
      </c>
      <c r="H647" s="65">
        <f t="shared" si="88"/>
        <v>-3.5712028914220983E-3</v>
      </c>
      <c r="I647" s="72">
        <f t="shared" si="85"/>
        <v>2.0673399592241681E-2</v>
      </c>
      <c r="J647" s="207">
        <v>182.52</v>
      </c>
      <c r="K647" s="229">
        <f t="shared" si="89"/>
        <v>4.0708548795247435E-3</v>
      </c>
      <c r="L647" s="229">
        <f t="shared" si="86"/>
        <v>-1.7494751574527623E-2</v>
      </c>
      <c r="M647" s="98"/>
      <c r="N647" s="98"/>
    </row>
    <row r="648" spans="1:14" x14ac:dyDescent="0.25">
      <c r="A648">
        <v>2</v>
      </c>
      <c r="B648" s="27">
        <v>46119</v>
      </c>
      <c r="C648" s="95">
        <v>821342.17902900022</v>
      </c>
      <c r="D648" s="230">
        <v>0</v>
      </c>
      <c r="E648" s="95">
        <f t="shared" si="87"/>
        <v>821342.17902900022</v>
      </c>
      <c r="F648" s="236">
        <v>68818.016949152545</v>
      </c>
      <c r="G648" s="95">
        <f t="shared" ref="G648:G679" si="90">E648/F648</f>
        <v>11.934987601224604</v>
      </c>
      <c r="H648" s="65">
        <f t="shared" si="88"/>
        <v>1.200579154941317E-2</v>
      </c>
      <c r="I648" s="72">
        <f t="shared" ref="I648:I679" si="91">G648/$G$552-1</f>
        <v>3.2927391667777028E-2</v>
      </c>
      <c r="J648" s="207">
        <v>182.47</v>
      </c>
      <c r="K648" s="229">
        <f t="shared" si="89"/>
        <v>-2.739425816349339E-4</v>
      </c>
      <c r="L648" s="229">
        <f t="shared" ref="L648:L679" si="92">J648/$J$552-1</f>
        <v>-1.7763901598751186E-2</v>
      </c>
      <c r="M648" s="98"/>
      <c r="N648" s="98"/>
    </row>
    <row r="649" spans="1:14" x14ac:dyDescent="0.25">
      <c r="A649">
        <v>2</v>
      </c>
      <c r="B649" s="27">
        <v>46120</v>
      </c>
      <c r="C649" s="95">
        <v>867444.12902899983</v>
      </c>
      <c r="D649" s="230">
        <v>0</v>
      </c>
      <c r="E649" s="95">
        <f t="shared" ref="E649:E680" si="93">C649-D649</f>
        <v>867444.12902899983</v>
      </c>
      <c r="F649" s="236">
        <v>68818.016949152545</v>
      </c>
      <c r="G649" s="95">
        <f t="shared" si="90"/>
        <v>12.604898651321598</v>
      </c>
      <c r="H649" s="65">
        <f t="shared" ref="H649:H680" si="94">G649/G648-1</f>
        <v>5.6130016425677498E-2</v>
      </c>
      <c r="I649" s="72">
        <f t="shared" si="91"/>
        <v>9.0905623128621382E-2</v>
      </c>
      <c r="J649" s="207">
        <v>187.66</v>
      </c>
      <c r="K649" s="229">
        <f t="shared" ref="K649:K680" si="95">J649/J648-1</f>
        <v>2.8443031731243407E-2</v>
      </c>
      <c r="L649" s="229">
        <f t="shared" si="92"/>
        <v>1.0173870915648253E-2</v>
      </c>
      <c r="M649" s="98"/>
      <c r="N649" s="98"/>
    </row>
    <row r="650" spans="1:14" x14ac:dyDescent="0.25">
      <c r="A650">
        <v>2</v>
      </c>
      <c r="B650" s="27">
        <v>46121</v>
      </c>
      <c r="C650" s="95">
        <v>875340.15902900009</v>
      </c>
      <c r="D650" s="230">
        <v>0</v>
      </c>
      <c r="E650" s="95">
        <f t="shared" si="93"/>
        <v>875340.15902900009</v>
      </c>
      <c r="F650" s="236">
        <v>68818.016949152545</v>
      </c>
      <c r="G650" s="95">
        <f t="shared" si="90"/>
        <v>12.719636482343878</v>
      </c>
      <c r="H650" s="65">
        <f t="shared" si="94"/>
        <v>9.1026381247618637E-3</v>
      </c>
      <c r="I650" s="72">
        <f t="shared" si="91"/>
        <v>0.1008357422442292</v>
      </c>
      <c r="J650" s="207">
        <v>188.36</v>
      </c>
      <c r="K650" s="229">
        <f t="shared" si="95"/>
        <v>3.7301502717681512E-3</v>
      </c>
      <c r="L650" s="229">
        <f t="shared" si="92"/>
        <v>1.3941971254777474E-2</v>
      </c>
      <c r="M650" s="98"/>
      <c r="N650" s="98"/>
    </row>
    <row r="651" spans="1:14" x14ac:dyDescent="0.25">
      <c r="A651">
        <v>2</v>
      </c>
      <c r="B651" s="27">
        <v>46122</v>
      </c>
      <c r="C651" s="95">
        <v>890096.13902899995</v>
      </c>
      <c r="D651" s="230">
        <v>0</v>
      </c>
      <c r="E651" s="95">
        <f t="shared" si="93"/>
        <v>890096.13902899995</v>
      </c>
      <c r="F651" s="236">
        <v>68818.016949152545</v>
      </c>
      <c r="G651" s="95">
        <f t="shared" si="90"/>
        <v>12.934056784674047</v>
      </c>
      <c r="H651" s="65">
        <f t="shared" si="94"/>
        <v>1.6857423765828994E-2</v>
      </c>
      <c r="I651" s="72">
        <f t="shared" si="91"/>
        <v>0.11939299684781113</v>
      </c>
      <c r="J651" s="207">
        <v>188.34</v>
      </c>
      <c r="K651" s="229">
        <f t="shared" si="95"/>
        <v>-1.0617965597792267E-4</v>
      </c>
      <c r="L651" s="229">
        <f t="shared" si="92"/>
        <v>1.3834311245088049E-2</v>
      </c>
      <c r="M651" s="98"/>
      <c r="N651" s="98"/>
    </row>
    <row r="652" spans="1:14" x14ac:dyDescent="0.25">
      <c r="A652">
        <v>2</v>
      </c>
      <c r="B652" s="27">
        <v>46123</v>
      </c>
      <c r="C652" s="95">
        <v>890096.13902899995</v>
      </c>
      <c r="D652" s="230">
        <v>0</v>
      </c>
      <c r="E652" s="95">
        <f t="shared" si="93"/>
        <v>890096.13902899995</v>
      </c>
      <c r="F652" s="236">
        <v>68818.016949152545</v>
      </c>
      <c r="G652" s="95">
        <f t="shared" si="90"/>
        <v>12.934056784674047</v>
      </c>
      <c r="H652" s="65">
        <f t="shared" si="94"/>
        <v>0</v>
      </c>
      <c r="I652" s="72">
        <f t="shared" si="91"/>
        <v>0.11939299684781113</v>
      </c>
      <c r="J652" s="207">
        <v>188.34</v>
      </c>
      <c r="K652" s="229">
        <f t="shared" si="95"/>
        <v>0</v>
      </c>
      <c r="L652" s="229">
        <f t="shared" si="92"/>
        <v>1.3834311245088049E-2</v>
      </c>
      <c r="M652" s="98"/>
      <c r="N652" s="98"/>
    </row>
    <row r="653" spans="1:14" x14ac:dyDescent="0.25">
      <c r="A653">
        <v>2</v>
      </c>
      <c r="B653" s="27">
        <v>46124</v>
      </c>
      <c r="C653" s="95">
        <v>890096.13902899995</v>
      </c>
      <c r="D653" s="230">
        <v>0</v>
      </c>
      <c r="E653" s="95">
        <f t="shared" si="93"/>
        <v>890096.13902899995</v>
      </c>
      <c r="F653" s="236">
        <v>68818.016949152545</v>
      </c>
      <c r="G653" s="95">
        <f t="shared" si="90"/>
        <v>12.934056784674047</v>
      </c>
      <c r="H653" s="65">
        <f t="shared" si="94"/>
        <v>0</v>
      </c>
      <c r="I653" s="72">
        <f t="shared" si="91"/>
        <v>0.11939299684781113</v>
      </c>
      <c r="J653" s="207">
        <v>188.34</v>
      </c>
      <c r="K653" s="229">
        <f t="shared" si="95"/>
        <v>0</v>
      </c>
      <c r="L653" s="229">
        <f t="shared" si="92"/>
        <v>1.3834311245088049E-2</v>
      </c>
      <c r="M653" s="98"/>
      <c r="N653" s="98"/>
    </row>
    <row r="654" spans="1:14" x14ac:dyDescent="0.25">
      <c r="A654">
        <v>2</v>
      </c>
      <c r="B654" s="27">
        <v>46125</v>
      </c>
      <c r="C654" s="95">
        <v>901004.41902899998</v>
      </c>
      <c r="D654" s="230">
        <v>0</v>
      </c>
      <c r="E654" s="95">
        <f t="shared" si="93"/>
        <v>901004.41902899998</v>
      </c>
      <c r="F654" s="236">
        <v>68818.016949152545</v>
      </c>
      <c r="G654" s="95">
        <f t="shared" si="90"/>
        <v>13.092565856623326</v>
      </c>
      <c r="H654" s="65">
        <f t="shared" si="94"/>
        <v>1.2255170561575213E-2</v>
      </c>
      <c r="I654" s="72">
        <f t="shared" si="91"/>
        <v>0.13311134894961363</v>
      </c>
      <c r="J654" s="207">
        <v>189.99</v>
      </c>
      <c r="K654" s="229">
        <f t="shared" si="95"/>
        <v>8.7607518317935895E-3</v>
      </c>
      <c r="L654" s="229">
        <f t="shared" si="92"/>
        <v>2.2716262044463642E-2</v>
      </c>
      <c r="M654" s="98"/>
      <c r="N654" s="98"/>
    </row>
    <row r="655" spans="1:14" x14ac:dyDescent="0.25">
      <c r="A655">
        <v>2</v>
      </c>
      <c r="B655" s="27">
        <v>46126</v>
      </c>
      <c r="C655" s="95">
        <v>921594.33302900009</v>
      </c>
      <c r="D655" s="230">
        <v>0</v>
      </c>
      <c r="E655" s="95">
        <f t="shared" si="93"/>
        <v>921594.33302900009</v>
      </c>
      <c r="F655" s="236">
        <v>68818.016949152545</v>
      </c>
      <c r="G655" s="95">
        <f t="shared" si="90"/>
        <v>13.39175951132008</v>
      </c>
      <c r="H655" s="65">
        <f t="shared" si="94"/>
        <v>2.2852178707613469E-2</v>
      </c>
      <c r="I655" s="72">
        <f t="shared" si="91"/>
        <v>0.15900541199143525</v>
      </c>
      <c r="J655" s="207">
        <v>192</v>
      </c>
      <c r="K655" s="229">
        <f t="shared" si="95"/>
        <v>1.0579504184430766E-2</v>
      </c>
      <c r="L655" s="229">
        <f t="shared" si="92"/>
        <v>3.3536093018248225E-2</v>
      </c>
      <c r="M655" s="98"/>
      <c r="N655" s="98"/>
    </row>
    <row r="656" spans="1:14" x14ac:dyDescent="0.25">
      <c r="A656">
        <v>2</v>
      </c>
      <c r="B656" s="27">
        <v>46127</v>
      </c>
      <c r="C656" s="95">
        <v>930507.87402899982</v>
      </c>
      <c r="D656" s="230">
        <v>0</v>
      </c>
      <c r="E656" s="95">
        <f t="shared" si="93"/>
        <v>930507.87402899982</v>
      </c>
      <c r="F656" s="236">
        <v>68818.016949152545</v>
      </c>
      <c r="G656" s="95">
        <f t="shared" si="90"/>
        <v>13.521282874461823</v>
      </c>
      <c r="H656" s="65">
        <f t="shared" si="94"/>
        <v>9.6718704537859246E-3</v>
      </c>
      <c r="I656" s="72">
        <f t="shared" si="91"/>
        <v>0.17021516219145316</v>
      </c>
      <c r="J656" s="207">
        <v>193.33</v>
      </c>
      <c r="K656" s="229">
        <f t="shared" si="95"/>
        <v>6.9270833333334725E-3</v>
      </c>
      <c r="L656" s="229">
        <f t="shared" si="92"/>
        <v>4.0695483662593457E-2</v>
      </c>
      <c r="M656" s="98"/>
      <c r="N656" s="98"/>
    </row>
    <row r="657" spans="1:14" x14ac:dyDescent="0.25">
      <c r="A657">
        <v>2</v>
      </c>
      <c r="B657" s="27">
        <v>46128</v>
      </c>
      <c r="C657" s="95">
        <v>942937.7899999998</v>
      </c>
      <c r="D657" s="230">
        <v>0</v>
      </c>
      <c r="E657" s="95">
        <f t="shared" si="93"/>
        <v>942937.7899999998</v>
      </c>
      <c r="F657" s="236">
        <v>68818.016949152545</v>
      </c>
      <c r="G657" s="95">
        <f t="shared" si="90"/>
        <v>13.701902958010352</v>
      </c>
      <c r="H657" s="65">
        <f t="shared" si="94"/>
        <v>1.3358206112947579E-2</v>
      </c>
      <c r="I657" s="72">
        <f t="shared" si="91"/>
        <v>0.18584713752450299</v>
      </c>
      <c r="J657" s="207">
        <v>193.3</v>
      </c>
      <c r="K657" s="229">
        <f t="shared" si="95"/>
        <v>-1.5517508922568979E-4</v>
      </c>
      <c r="L657" s="229">
        <f t="shared" si="92"/>
        <v>4.0533993648059541E-2</v>
      </c>
      <c r="M657" s="98"/>
      <c r="N657" s="98"/>
    </row>
    <row r="658" spans="1:14" x14ac:dyDescent="0.25">
      <c r="A658">
        <v>2</v>
      </c>
      <c r="B658" s="27">
        <v>46129</v>
      </c>
      <c r="C658" s="95">
        <v>966528.37</v>
      </c>
      <c r="D658" s="230">
        <v>0</v>
      </c>
      <c r="E658" s="95">
        <f t="shared" si="93"/>
        <v>966528.37</v>
      </c>
      <c r="F658" s="236">
        <v>68818.016949152545</v>
      </c>
      <c r="G658" s="95">
        <f t="shared" si="90"/>
        <v>14.044699525621862</v>
      </c>
      <c r="H658" s="65">
        <f t="shared" si="94"/>
        <v>2.5018172195644173E-2</v>
      </c>
      <c r="I658" s="72">
        <f t="shared" si="91"/>
        <v>0.21551486540880282</v>
      </c>
      <c r="J658" s="207">
        <v>195.79</v>
      </c>
      <c r="K658" s="229">
        <f t="shared" si="95"/>
        <v>1.288153129849956E-2</v>
      </c>
      <c r="L658" s="229">
        <f t="shared" si="92"/>
        <v>5.3937664854389666E-2</v>
      </c>
      <c r="M658" s="98"/>
      <c r="N658" s="98"/>
    </row>
    <row r="659" spans="1:14" x14ac:dyDescent="0.25">
      <c r="A659">
        <v>2</v>
      </c>
      <c r="B659" s="27">
        <v>46130</v>
      </c>
      <c r="C659" s="95">
        <v>966528.37</v>
      </c>
      <c r="D659" s="230">
        <v>0</v>
      </c>
      <c r="E659" s="95">
        <f t="shared" si="93"/>
        <v>966528.37</v>
      </c>
      <c r="F659" s="236">
        <v>68818.016949152545</v>
      </c>
      <c r="G659" s="95">
        <f t="shared" si="90"/>
        <v>14.044699525621862</v>
      </c>
      <c r="H659" s="65">
        <f t="shared" si="94"/>
        <v>0</v>
      </c>
      <c r="I659" s="72">
        <f t="shared" si="91"/>
        <v>0.21551486540880282</v>
      </c>
      <c r="J659" s="207">
        <v>195.79</v>
      </c>
      <c r="K659" s="229">
        <f t="shared" si="95"/>
        <v>0</v>
      </c>
      <c r="L659" s="229">
        <f t="shared" si="92"/>
        <v>5.3937664854389666E-2</v>
      </c>
      <c r="M659" s="98"/>
      <c r="N659" s="98"/>
    </row>
    <row r="660" spans="1:14" x14ac:dyDescent="0.25">
      <c r="A660">
        <v>2</v>
      </c>
      <c r="B660" s="27">
        <v>46131</v>
      </c>
      <c r="C660" s="95">
        <v>966528.37</v>
      </c>
      <c r="D660" s="230">
        <v>0</v>
      </c>
      <c r="E660" s="95">
        <f t="shared" si="93"/>
        <v>966528.37</v>
      </c>
      <c r="F660" s="236">
        <v>68818.016949152545</v>
      </c>
      <c r="G660" s="95">
        <f t="shared" si="90"/>
        <v>14.044699525621862</v>
      </c>
      <c r="H660" s="65">
        <f t="shared" si="94"/>
        <v>0</v>
      </c>
      <c r="I660" s="72">
        <f t="shared" si="91"/>
        <v>0.21551486540880282</v>
      </c>
      <c r="J660" s="207">
        <v>195.79</v>
      </c>
      <c r="K660" s="229">
        <f t="shared" si="95"/>
        <v>0</v>
      </c>
      <c r="L660" s="229">
        <f t="shared" si="92"/>
        <v>5.3937664854389666E-2</v>
      </c>
      <c r="M660" s="98"/>
      <c r="N660" s="98"/>
    </row>
    <row r="661" spans="1:14" x14ac:dyDescent="0.25">
      <c r="A661">
        <v>2</v>
      </c>
      <c r="B661" s="27">
        <v>46132</v>
      </c>
      <c r="C661" s="95">
        <v>966844.5199999999</v>
      </c>
      <c r="D661" s="230">
        <v>0</v>
      </c>
      <c r="E661" s="95">
        <f t="shared" si="93"/>
        <v>966844.5199999999</v>
      </c>
      <c r="F661" s="236">
        <v>68818.016949152545</v>
      </c>
      <c r="G661" s="95">
        <f t="shared" si="90"/>
        <v>14.049293526059763</v>
      </c>
      <c r="H661" s="65">
        <f t="shared" si="94"/>
        <v>3.2709852065693212E-4</v>
      </c>
      <c r="I661" s="72">
        <f t="shared" si="91"/>
        <v>0.21591245852311447</v>
      </c>
      <c r="J661" s="207">
        <v>195.51</v>
      </c>
      <c r="K661" s="229">
        <f t="shared" si="95"/>
        <v>-1.4301036825169477E-3</v>
      </c>
      <c r="L661" s="229">
        <f t="shared" si="92"/>
        <v>5.2430424718738156E-2</v>
      </c>
      <c r="M661" s="98"/>
      <c r="N661" s="98"/>
    </row>
    <row r="662" spans="1:14" x14ac:dyDescent="0.25">
      <c r="A662">
        <v>2</v>
      </c>
      <c r="B662" s="27">
        <v>46133</v>
      </c>
      <c r="C662" s="95">
        <v>959279.37</v>
      </c>
      <c r="D662" s="230">
        <v>0</v>
      </c>
      <c r="E662" s="95">
        <f t="shared" si="93"/>
        <v>959279.37</v>
      </c>
      <c r="F662" s="236">
        <v>68818.016949152545</v>
      </c>
      <c r="G662" s="95">
        <f t="shared" si="90"/>
        <v>13.939363738260305</v>
      </c>
      <c r="H662" s="65">
        <f t="shared" si="94"/>
        <v>-7.8245776270210454E-3</v>
      </c>
      <c r="I662" s="72">
        <f t="shared" si="91"/>
        <v>0.20639845710373828</v>
      </c>
      <c r="J662" s="207">
        <v>193.28</v>
      </c>
      <c r="K662" s="229">
        <f t="shared" si="95"/>
        <v>-1.140606618587281E-2</v>
      </c>
      <c r="L662" s="229">
        <f t="shared" si="92"/>
        <v>4.0426333638369893E-2</v>
      </c>
      <c r="M662" s="98"/>
      <c r="N662" s="98"/>
    </row>
    <row r="663" spans="1:14" x14ac:dyDescent="0.25">
      <c r="A663">
        <v>2</v>
      </c>
      <c r="B663" s="27">
        <v>46134</v>
      </c>
      <c r="C663" s="95">
        <v>979796.36</v>
      </c>
      <c r="D663" s="230">
        <v>0</v>
      </c>
      <c r="E663" s="95">
        <f t="shared" si="93"/>
        <v>979796.36</v>
      </c>
      <c r="F663" s="236">
        <v>68818.016949152545</v>
      </c>
      <c r="G663" s="95">
        <f t="shared" si="90"/>
        <v>14.237497728595413</v>
      </c>
      <c r="H663" s="65">
        <f t="shared" si="94"/>
        <v>2.1387919558824686E-2</v>
      </c>
      <c r="I663" s="72">
        <f t="shared" si="91"/>
        <v>0.23220081026016315</v>
      </c>
      <c r="J663" s="207">
        <v>194.92</v>
      </c>
      <c r="K663" s="229">
        <f t="shared" si="95"/>
        <v>8.4850993377483253E-3</v>
      </c>
      <c r="L663" s="229">
        <f t="shared" si="92"/>
        <v>4.9254454432900774E-2</v>
      </c>
      <c r="M663" s="98"/>
      <c r="N663" s="98"/>
    </row>
    <row r="664" spans="1:14" x14ac:dyDescent="0.25">
      <c r="A664">
        <v>2</v>
      </c>
      <c r="B664" s="27">
        <v>46135</v>
      </c>
      <c r="C664" s="95">
        <v>979599.7799999998</v>
      </c>
      <c r="D664" s="230">
        <v>0</v>
      </c>
      <c r="E664" s="95">
        <f t="shared" si="93"/>
        <v>979599.7799999998</v>
      </c>
      <c r="F664" s="236">
        <v>68818.016949152545</v>
      </c>
      <c r="G664" s="95">
        <f t="shared" si="90"/>
        <v>14.234641209202454</v>
      </c>
      <c r="H664" s="65">
        <f t="shared" si="94"/>
        <v>-2.0063352756305441E-4</v>
      </c>
      <c r="I664" s="72">
        <f t="shared" si="91"/>
        <v>0.23195358946493472</v>
      </c>
      <c r="J664" s="207">
        <v>193.82</v>
      </c>
      <c r="K664" s="229">
        <f t="shared" si="95"/>
        <v>-5.6433408577877264E-3</v>
      </c>
      <c r="L664" s="229">
        <f t="shared" si="92"/>
        <v>4.3333153899983712E-2</v>
      </c>
      <c r="M664" s="98"/>
      <c r="N664" s="98"/>
    </row>
    <row r="665" spans="1:14" x14ac:dyDescent="0.25">
      <c r="A665">
        <v>2</v>
      </c>
      <c r="B665" s="27">
        <v>46136</v>
      </c>
      <c r="C665" s="95">
        <v>1011082.4899999998</v>
      </c>
      <c r="D665" s="230">
        <v>0</v>
      </c>
      <c r="E665" s="95">
        <f t="shared" si="93"/>
        <v>1011082.4899999998</v>
      </c>
      <c r="F665" s="236">
        <v>68818.016949152545</v>
      </c>
      <c r="G665" s="95">
        <f t="shared" si="90"/>
        <v>14.692118936630456</v>
      </c>
      <c r="H665" s="65">
        <f t="shared" si="94"/>
        <v>3.2138339189908827E-2</v>
      </c>
      <c r="I665" s="72">
        <f t="shared" si="91"/>
        <v>0.27154653178938437</v>
      </c>
      <c r="J665" s="207">
        <v>195.23</v>
      </c>
      <c r="K665" s="229">
        <f t="shared" si="95"/>
        <v>7.2747910432360285E-3</v>
      </c>
      <c r="L665" s="229">
        <f t="shared" si="92"/>
        <v>5.0923184583086423E-2</v>
      </c>
      <c r="M665" s="98"/>
      <c r="N665" s="98"/>
    </row>
    <row r="666" spans="1:14" x14ac:dyDescent="0.25">
      <c r="A666">
        <v>2</v>
      </c>
      <c r="B666" s="27">
        <v>46137</v>
      </c>
      <c r="C666" s="95">
        <v>1011082.4899999998</v>
      </c>
      <c r="D666" s="230">
        <v>0</v>
      </c>
      <c r="E666" s="95">
        <f t="shared" si="93"/>
        <v>1011082.4899999998</v>
      </c>
      <c r="F666" s="236">
        <v>68818.016949152545</v>
      </c>
      <c r="G666" s="95">
        <f t="shared" si="90"/>
        <v>14.692118936630456</v>
      </c>
      <c r="H666" s="65">
        <f t="shared" si="94"/>
        <v>0</v>
      </c>
      <c r="I666" s="72">
        <f t="shared" si="91"/>
        <v>0.27154653178938437</v>
      </c>
      <c r="J666" s="207">
        <v>195.23</v>
      </c>
      <c r="K666" s="229">
        <f t="shared" si="95"/>
        <v>0</v>
      </c>
      <c r="L666" s="229">
        <f t="shared" si="92"/>
        <v>5.0923184583086423E-2</v>
      </c>
      <c r="M666" s="98"/>
      <c r="N666" s="98"/>
    </row>
    <row r="667" spans="1:14" x14ac:dyDescent="0.25">
      <c r="A667">
        <v>2</v>
      </c>
      <c r="B667" s="27">
        <v>46138</v>
      </c>
      <c r="C667" s="95">
        <v>1011082.4899999998</v>
      </c>
      <c r="D667" s="230">
        <v>0</v>
      </c>
      <c r="E667" s="95">
        <f t="shared" si="93"/>
        <v>1011082.4899999998</v>
      </c>
      <c r="F667" s="236">
        <v>68818.016949152545</v>
      </c>
      <c r="G667" s="95">
        <f t="shared" si="90"/>
        <v>14.692118936630456</v>
      </c>
      <c r="H667" s="65">
        <f t="shared" si="94"/>
        <v>0</v>
      </c>
      <c r="I667" s="72">
        <f t="shared" si="91"/>
        <v>0.27154653178938437</v>
      </c>
      <c r="J667" s="207">
        <v>195.23</v>
      </c>
      <c r="K667" s="229">
        <f t="shared" si="95"/>
        <v>0</v>
      </c>
      <c r="L667" s="229">
        <f t="shared" si="92"/>
        <v>5.0923184583086423E-2</v>
      </c>
      <c r="M667" s="98"/>
      <c r="N667" s="98"/>
    </row>
    <row r="668" spans="1:14" x14ac:dyDescent="0.25">
      <c r="A668">
        <v>2</v>
      </c>
      <c r="B668" s="27">
        <v>46139</v>
      </c>
      <c r="C668" s="95">
        <v>1000548.7121999997</v>
      </c>
      <c r="D668" s="230">
        <v>0</v>
      </c>
      <c r="E668" s="95">
        <f t="shared" si="93"/>
        <v>1000548.7121999997</v>
      </c>
      <c r="F668" s="236">
        <v>68818.016949152545</v>
      </c>
      <c r="G668" s="95">
        <f t="shared" si="90"/>
        <v>14.539051785512411</v>
      </c>
      <c r="H668" s="65">
        <f t="shared" si="94"/>
        <v>-1.0418316907060743E-2</v>
      </c>
      <c r="I668" s="72">
        <f t="shared" si="91"/>
        <v>0.25829915705912865</v>
      </c>
      <c r="J668" s="207">
        <v>195.45</v>
      </c>
      <c r="K668" s="229">
        <f t="shared" si="95"/>
        <v>1.1268759924192295E-3</v>
      </c>
      <c r="L668" s="229">
        <f t="shared" si="92"/>
        <v>5.210744468966988E-2</v>
      </c>
      <c r="M668" s="98"/>
      <c r="N668" s="98"/>
    </row>
    <row r="669" spans="1:14" x14ac:dyDescent="0.25">
      <c r="A669">
        <v>2</v>
      </c>
      <c r="B669" s="27">
        <v>46140</v>
      </c>
      <c r="C669" s="95">
        <v>974211.80999999994</v>
      </c>
      <c r="D669" s="230">
        <v>0</v>
      </c>
      <c r="E669" s="95">
        <f t="shared" si="93"/>
        <v>974211.80999999994</v>
      </c>
      <c r="F669" s="236">
        <v>68818.016949152545</v>
      </c>
      <c r="G669" s="95">
        <f t="shared" si="90"/>
        <v>14.15634819468591</v>
      </c>
      <c r="H669" s="65">
        <f t="shared" si="94"/>
        <v>-2.6322458745752009E-2</v>
      </c>
      <c r="I669" s="72">
        <f t="shared" si="91"/>
        <v>0.22517762940762531</v>
      </c>
      <c r="J669" s="207">
        <v>194.43</v>
      </c>
      <c r="K669" s="229">
        <f t="shared" si="95"/>
        <v>-5.2187260168840011E-3</v>
      </c>
      <c r="L669" s="229">
        <f t="shared" si="92"/>
        <v>4.6616784195510519E-2</v>
      </c>
      <c r="M669" s="98"/>
      <c r="N669" s="98"/>
    </row>
    <row r="670" spans="1:14" x14ac:dyDescent="0.25">
      <c r="A670">
        <v>2</v>
      </c>
      <c r="B670" s="27">
        <v>46141</v>
      </c>
      <c r="C670" s="95">
        <v>1015480.1599999999</v>
      </c>
      <c r="D670" s="230">
        <v>0</v>
      </c>
      <c r="E670" s="95">
        <f t="shared" si="93"/>
        <v>1015480.1599999999</v>
      </c>
      <c r="F670" s="236">
        <v>68818.016949152545</v>
      </c>
      <c r="G670" s="95">
        <f t="shared" si="90"/>
        <v>14.756021824202026</v>
      </c>
      <c r="H670" s="65">
        <f t="shared" si="94"/>
        <v>4.2360757256679094E-2</v>
      </c>
      <c r="I670" s="72">
        <f t="shared" si="91"/>
        <v>0.27707708156327504</v>
      </c>
      <c r="J670" s="207">
        <v>193.87</v>
      </c>
      <c r="K670" s="229">
        <f t="shared" si="95"/>
        <v>-2.8802139587512654E-3</v>
      </c>
      <c r="L670" s="229">
        <f t="shared" si="92"/>
        <v>4.3602303924207275E-2</v>
      </c>
      <c r="M670" s="98"/>
      <c r="N670" s="98"/>
    </row>
    <row r="671" spans="1:14" x14ac:dyDescent="0.25">
      <c r="A671">
        <v>2</v>
      </c>
      <c r="B671" s="27">
        <v>46142</v>
      </c>
      <c r="C671" s="95">
        <v>1031107.63</v>
      </c>
      <c r="D671" s="230">
        <v>0</v>
      </c>
      <c r="E671" s="95">
        <f t="shared" si="93"/>
        <v>1031107.63</v>
      </c>
      <c r="F671" s="236">
        <v>68818.016949152545</v>
      </c>
      <c r="G671" s="95">
        <f t="shared" si="90"/>
        <v>14.983105816051816</v>
      </c>
      <c r="H671" s="65">
        <f t="shared" si="94"/>
        <v>1.5389242070470432E-2</v>
      </c>
      <c r="I671" s="72">
        <f t="shared" si="91"/>
        <v>0.29673032991410242</v>
      </c>
      <c r="J671" s="207">
        <v>196.45</v>
      </c>
      <c r="K671" s="229">
        <f t="shared" si="95"/>
        <v>1.330788672821992E-2</v>
      </c>
      <c r="L671" s="229">
        <f t="shared" si="92"/>
        <v>5.7490445174140037E-2</v>
      </c>
      <c r="M671" s="98"/>
      <c r="N671" s="98"/>
    </row>
    <row r="672" spans="1:14" x14ac:dyDescent="0.25">
      <c r="A672">
        <v>2</v>
      </c>
      <c r="B672" s="27">
        <v>46143</v>
      </c>
      <c r="C672" s="95">
        <v>1049472.02</v>
      </c>
      <c r="D672" s="230">
        <v>0</v>
      </c>
      <c r="E672" s="95">
        <f t="shared" si="93"/>
        <v>1049472.02</v>
      </c>
      <c r="F672" s="236">
        <v>68818.016949152545</v>
      </c>
      <c r="G672" s="95">
        <f t="shared" si="90"/>
        <v>15.24996020701122</v>
      </c>
      <c r="H672" s="65">
        <f t="shared" si="94"/>
        <v>1.7810352154992826E-2</v>
      </c>
      <c r="I672" s="72">
        <f t="shared" si="91"/>
        <v>0.3198255537399326</v>
      </c>
      <c r="J672" s="207">
        <v>196.76</v>
      </c>
      <c r="K672" s="229">
        <f t="shared" si="95"/>
        <v>1.5780096716722092E-3</v>
      </c>
      <c r="L672" s="229">
        <f t="shared" si="92"/>
        <v>5.9159175324325686E-2</v>
      </c>
      <c r="M672" s="98"/>
      <c r="N672" s="98"/>
    </row>
    <row r="673" spans="1:14" x14ac:dyDescent="0.25">
      <c r="A673">
        <v>2</v>
      </c>
      <c r="B673" s="27">
        <v>46144</v>
      </c>
      <c r="C673" s="95">
        <v>1049472.02</v>
      </c>
      <c r="D673" s="230">
        <v>0</v>
      </c>
      <c r="E673" s="95">
        <f t="shared" si="93"/>
        <v>1049472.02</v>
      </c>
      <c r="F673" s="236">
        <v>68818.016949152545</v>
      </c>
      <c r="G673" s="95">
        <f t="shared" si="90"/>
        <v>15.24996020701122</v>
      </c>
      <c r="H673" s="65">
        <f t="shared" si="94"/>
        <v>0</v>
      </c>
      <c r="I673" s="72">
        <f t="shared" si="91"/>
        <v>0.3198255537399326</v>
      </c>
      <c r="J673" s="207">
        <v>196.76</v>
      </c>
      <c r="K673" s="229">
        <f t="shared" si="95"/>
        <v>0</v>
      </c>
      <c r="L673" s="229">
        <f t="shared" si="92"/>
        <v>5.9159175324325686E-2</v>
      </c>
      <c r="M673" s="98"/>
      <c r="N673" s="98"/>
    </row>
    <row r="674" spans="1:14" x14ac:dyDescent="0.25">
      <c r="A674">
        <v>2</v>
      </c>
      <c r="B674" s="27">
        <v>46145</v>
      </c>
      <c r="C674" s="95">
        <v>1049472.02</v>
      </c>
      <c r="D674" s="230">
        <v>0</v>
      </c>
      <c r="E674" s="95">
        <f t="shared" si="93"/>
        <v>1049472.02</v>
      </c>
      <c r="F674" s="236">
        <v>68818.016949152545</v>
      </c>
      <c r="G674" s="95">
        <f t="shared" si="90"/>
        <v>15.24996020701122</v>
      </c>
      <c r="H674" s="65">
        <f t="shared" si="94"/>
        <v>0</v>
      </c>
      <c r="I674" s="72">
        <f t="shared" si="91"/>
        <v>0.3198255537399326</v>
      </c>
      <c r="J674" s="207">
        <v>196.76</v>
      </c>
      <c r="K674" s="229">
        <f t="shared" si="95"/>
        <v>0</v>
      </c>
      <c r="L674" s="229">
        <f t="shared" si="92"/>
        <v>5.9159175324325686E-2</v>
      </c>
      <c r="M674" s="98"/>
      <c r="N674" s="98"/>
    </row>
    <row r="675" spans="1:14" x14ac:dyDescent="0.25">
      <c r="A675">
        <v>2</v>
      </c>
      <c r="B675" s="27">
        <v>46146</v>
      </c>
      <c r="C675" s="95">
        <v>1069441.8799999999</v>
      </c>
      <c r="D675" s="230">
        <v>0</v>
      </c>
      <c r="E675" s="95">
        <f t="shared" si="93"/>
        <v>1069441.8799999999</v>
      </c>
      <c r="F675" s="236">
        <v>68818.016949152545</v>
      </c>
      <c r="G675" s="95">
        <f t="shared" si="90"/>
        <v>15.540143808418319</v>
      </c>
      <c r="H675" s="65">
        <f t="shared" si="94"/>
        <v>1.902848253162559E-2</v>
      </c>
      <c r="I675" s="72">
        <f t="shared" si="91"/>
        <v>0.34493983123406591</v>
      </c>
      <c r="J675" s="207">
        <v>195.56</v>
      </c>
      <c r="K675" s="229">
        <f t="shared" si="95"/>
        <v>-6.0988005692212965E-3</v>
      </c>
      <c r="L675" s="229">
        <f t="shared" si="92"/>
        <v>5.2699574742961719E-2</v>
      </c>
      <c r="M675" s="98"/>
      <c r="N675" s="98"/>
    </row>
    <row r="676" spans="1:14" x14ac:dyDescent="0.25">
      <c r="A676">
        <v>2</v>
      </c>
      <c r="B676" s="27">
        <v>46147</v>
      </c>
      <c r="C676" s="95">
        <v>1116107.7205000001</v>
      </c>
      <c r="D676" s="230">
        <v>0</v>
      </c>
      <c r="E676" s="95">
        <f t="shared" si="93"/>
        <v>1116107.7205000001</v>
      </c>
      <c r="F676" s="236">
        <v>68818.016949152545</v>
      </c>
      <c r="G676" s="95">
        <f t="shared" si="90"/>
        <v>16.218248795582948</v>
      </c>
      <c r="H676" s="65">
        <f t="shared" si="94"/>
        <v>4.3635695751881531E-2</v>
      </c>
      <c r="I676" s="72">
        <f t="shared" si="91"/>
        <v>0.4036272165143826</v>
      </c>
      <c r="J676" s="207">
        <v>197.03</v>
      </c>
      <c r="K676" s="229">
        <f t="shared" si="95"/>
        <v>7.5168746164859801E-3</v>
      </c>
      <c r="L676" s="229">
        <f t="shared" si="92"/>
        <v>6.0612585455132706E-2</v>
      </c>
      <c r="M676" s="98"/>
      <c r="N676" s="98"/>
    </row>
    <row r="677" spans="1:14" x14ac:dyDescent="0.25">
      <c r="A677">
        <v>2</v>
      </c>
      <c r="B677" s="27">
        <v>46148</v>
      </c>
      <c r="C677" s="95">
        <v>1114713.7825</v>
      </c>
      <c r="D677" s="230">
        <v>0</v>
      </c>
      <c r="E677" s="95">
        <f t="shared" si="93"/>
        <v>1114713.7825</v>
      </c>
      <c r="F677" s="236">
        <v>68818.016949152545</v>
      </c>
      <c r="G677" s="95">
        <f t="shared" si="90"/>
        <v>16.197993373212523</v>
      </c>
      <c r="H677" s="65">
        <f t="shared" si="94"/>
        <v>-1.2489278359043565E-3</v>
      </c>
      <c r="I677" s="72">
        <f t="shared" si="91"/>
        <v>0.40187418741244496</v>
      </c>
      <c r="J677" s="207">
        <v>200.63</v>
      </c>
      <c r="K677" s="229">
        <f t="shared" si="95"/>
        <v>1.827132923920205E-2</v>
      </c>
      <c r="L677" s="229">
        <f t="shared" si="92"/>
        <v>7.9991387199224828E-2</v>
      </c>
      <c r="M677" s="98"/>
      <c r="N677" s="98"/>
    </row>
    <row r="678" spans="1:14" x14ac:dyDescent="0.25">
      <c r="A678">
        <v>2</v>
      </c>
      <c r="B678" s="27">
        <v>46149</v>
      </c>
      <c r="C678" s="95">
        <v>1113766.0595652</v>
      </c>
      <c r="D678" s="230">
        <v>0</v>
      </c>
      <c r="E678" s="95">
        <f t="shared" si="93"/>
        <v>1113766.0595652</v>
      </c>
      <c r="F678" s="236">
        <v>68818.016949152545</v>
      </c>
      <c r="G678" s="95">
        <f t="shared" si="90"/>
        <v>16.184221936940244</v>
      </c>
      <c r="H678" s="65">
        <f t="shared" si="94"/>
        <v>-8.5019396878216469E-4</v>
      </c>
      <c r="I678" s="72">
        <f t="shared" si="91"/>
        <v>0.40068232243331536</v>
      </c>
      <c r="J678" s="207">
        <v>199.12</v>
      </c>
      <c r="K678" s="229">
        <f t="shared" si="95"/>
        <v>-7.5262921796340754E-3</v>
      </c>
      <c r="L678" s="229">
        <f t="shared" si="92"/>
        <v>7.1863056467674991E-2</v>
      </c>
      <c r="M678" s="98"/>
      <c r="N678" s="98"/>
    </row>
    <row r="679" spans="1:14" x14ac:dyDescent="0.25">
      <c r="A679">
        <v>2</v>
      </c>
      <c r="B679" s="27">
        <v>46150</v>
      </c>
      <c r="C679" s="95">
        <v>1123355.2818152001</v>
      </c>
      <c r="D679" s="230">
        <v>0</v>
      </c>
      <c r="E679" s="95">
        <f t="shared" si="93"/>
        <v>1123355.2818152001</v>
      </c>
      <c r="F679" s="236">
        <v>68818.016949152545</v>
      </c>
      <c r="G679" s="95">
        <f t="shared" si="90"/>
        <v>16.323563677302875</v>
      </c>
      <c r="H679" s="65">
        <f t="shared" si="94"/>
        <v>8.6097274806016255E-3</v>
      </c>
      <c r="I679" s="72">
        <f t="shared" si="91"/>
        <v>0.41274181551636269</v>
      </c>
      <c r="J679" s="207">
        <v>200.58</v>
      </c>
      <c r="K679" s="229">
        <f t="shared" si="95"/>
        <v>7.3322619525915123E-3</v>
      </c>
      <c r="L679" s="229">
        <f t="shared" si="92"/>
        <v>7.9722237175001265E-2</v>
      </c>
      <c r="M679" s="98"/>
      <c r="N679" s="98"/>
    </row>
    <row r="680" spans="1:14" x14ac:dyDescent="0.25">
      <c r="A680">
        <v>2</v>
      </c>
      <c r="B680" s="27">
        <v>46151</v>
      </c>
      <c r="C680" s="95">
        <v>1123355.2818152001</v>
      </c>
      <c r="D680" s="230">
        <v>0</v>
      </c>
      <c r="E680" s="95">
        <f t="shared" si="93"/>
        <v>1123355.2818152001</v>
      </c>
      <c r="F680" s="236">
        <v>68818.016949152545</v>
      </c>
      <c r="G680" s="95">
        <f t="shared" ref="G680:G692" si="96">E680/F680</f>
        <v>16.323563677302875</v>
      </c>
      <c r="H680" s="65">
        <f t="shared" si="94"/>
        <v>0</v>
      </c>
      <c r="I680" s="72">
        <f t="shared" ref="I680:I692" si="97">G680/$G$552-1</f>
        <v>0.41274181551636269</v>
      </c>
      <c r="J680" s="207">
        <v>200.58</v>
      </c>
      <c r="K680" s="229">
        <f t="shared" si="95"/>
        <v>0</v>
      </c>
      <c r="L680" s="229">
        <f t="shared" ref="L680:L693" si="98">J680/$J$552-1</f>
        <v>7.9722237175001265E-2</v>
      </c>
      <c r="M680" s="98"/>
      <c r="N680" s="98"/>
    </row>
    <row r="681" spans="1:14" x14ac:dyDescent="0.25">
      <c r="A681">
        <v>2</v>
      </c>
      <c r="B681" s="27">
        <v>46152</v>
      </c>
      <c r="C681" s="95">
        <v>1123355.2818152001</v>
      </c>
      <c r="D681" s="230">
        <v>0</v>
      </c>
      <c r="E681" s="95">
        <f t="shared" ref="E681:E692" si="99">C681-D681</f>
        <v>1123355.2818152001</v>
      </c>
      <c r="F681" s="236">
        <v>68818.016949152545</v>
      </c>
      <c r="G681" s="95">
        <f t="shared" si="96"/>
        <v>16.323563677302875</v>
      </c>
      <c r="H681" s="65">
        <f t="shared" ref="H681:H692" si="100">G681/G680-1</f>
        <v>0</v>
      </c>
      <c r="I681" s="72">
        <f t="shared" si="97"/>
        <v>0.41274181551636269</v>
      </c>
      <c r="J681" s="207">
        <v>200.58</v>
      </c>
      <c r="K681" s="229">
        <f t="shared" ref="K681:K692" si="101">J681/J680-1</f>
        <v>0</v>
      </c>
      <c r="L681" s="229">
        <f t="shared" si="98"/>
        <v>7.9722237175001265E-2</v>
      </c>
      <c r="M681" s="98"/>
      <c r="N681" s="98"/>
    </row>
    <row r="682" spans="1:14" x14ac:dyDescent="0.25">
      <c r="A682">
        <v>2</v>
      </c>
      <c r="B682" s="27">
        <v>46153</v>
      </c>
      <c r="C682" s="95">
        <v>1133794.8010652</v>
      </c>
      <c r="D682" s="230">
        <v>0</v>
      </c>
      <c r="E682" s="95">
        <f t="shared" si="99"/>
        <v>1133794.8010652</v>
      </c>
      <c r="F682" s="236">
        <v>68818.016949152545</v>
      </c>
      <c r="G682" s="95">
        <f t="shared" si="96"/>
        <v>16.475261150040478</v>
      </c>
      <c r="H682" s="65">
        <f t="shared" si="100"/>
        <v>9.293159002315754E-3</v>
      </c>
      <c r="I682" s="72">
        <f t="shared" si="97"/>
        <v>0.42587064983717648</v>
      </c>
      <c r="J682" s="207">
        <v>200.88</v>
      </c>
      <c r="K682" s="229">
        <f t="shared" si="101"/>
        <v>1.4956625785222943E-3</v>
      </c>
      <c r="L682" s="229">
        <f t="shared" si="98"/>
        <v>8.1337137320342201E-2</v>
      </c>
      <c r="M682" s="98"/>
      <c r="N682" s="98"/>
    </row>
    <row r="683" spans="1:14" x14ac:dyDescent="0.25">
      <c r="A683">
        <v>2</v>
      </c>
      <c r="B683" s="27">
        <v>46154</v>
      </c>
      <c r="C683" s="95">
        <v>1114847.5453152</v>
      </c>
      <c r="D683" s="230">
        <v>0</v>
      </c>
      <c r="E683" s="95">
        <f t="shared" si="99"/>
        <v>1114847.5453152</v>
      </c>
      <c r="F683" s="236">
        <v>68818.016949152545</v>
      </c>
      <c r="G683" s="95">
        <f t="shared" si="96"/>
        <v>16.199937091167936</v>
      </c>
      <c r="H683" s="65">
        <f t="shared" si="100"/>
        <v>-1.6711362348988623E-2</v>
      </c>
      <c r="I683" s="72">
        <f t="shared" si="97"/>
        <v>0.40204240874495945</v>
      </c>
      <c r="J683" s="207">
        <v>200.57</v>
      </c>
      <c r="K683" s="229">
        <f t="shared" si="101"/>
        <v>-1.5432098765432167E-3</v>
      </c>
      <c r="L683" s="229">
        <f t="shared" si="98"/>
        <v>7.9668407170156552E-2</v>
      </c>
      <c r="M683" s="98"/>
      <c r="N683" s="98"/>
    </row>
    <row r="684" spans="1:14" x14ac:dyDescent="0.25">
      <c r="A684">
        <v>2</v>
      </c>
      <c r="B684" s="27">
        <v>46155</v>
      </c>
      <c r="C684" s="95">
        <v>1123902.1519151996</v>
      </c>
      <c r="D684" s="230">
        <v>0</v>
      </c>
      <c r="E684" s="95">
        <f t="shared" si="99"/>
        <v>1123902.1519151996</v>
      </c>
      <c r="F684" s="236">
        <v>68818.016949152545</v>
      </c>
      <c r="G684" s="95">
        <f t="shared" si="96"/>
        <v>16.3315102896036</v>
      </c>
      <c r="H684" s="65">
        <f t="shared" si="100"/>
        <v>8.1218339117745675E-3</v>
      </c>
      <c r="I684" s="72">
        <f t="shared" si="97"/>
        <v>0.4134295643260506</v>
      </c>
      <c r="J684" s="207">
        <v>201.63</v>
      </c>
      <c r="K684" s="229">
        <f t="shared" si="101"/>
        <v>5.2849379269084285E-3</v>
      </c>
      <c r="L684" s="229">
        <f t="shared" si="98"/>
        <v>8.5374387683694763E-2</v>
      </c>
      <c r="M684" s="98"/>
      <c r="N684" s="98"/>
    </row>
    <row r="685" spans="1:14" x14ac:dyDescent="0.25">
      <c r="A685">
        <v>2</v>
      </c>
      <c r="B685" s="27">
        <v>46156</v>
      </c>
      <c r="C685" s="95">
        <v>1126738.6221151999</v>
      </c>
      <c r="D685" s="230">
        <v>0</v>
      </c>
      <c r="E685" s="95">
        <f t="shared" si="99"/>
        <v>1126738.6221151999</v>
      </c>
      <c r="F685" s="236">
        <v>68818.016949152545</v>
      </c>
      <c r="G685" s="95">
        <f t="shared" si="96"/>
        <v>16.372727260474701</v>
      </c>
      <c r="H685" s="65">
        <f t="shared" si="100"/>
        <v>2.5237697028754891E-3</v>
      </c>
      <c r="I685" s="72">
        <f t="shared" si="97"/>
        <v>0.41699673503764512</v>
      </c>
      <c r="J685" s="207">
        <v>202.74</v>
      </c>
      <c r="K685" s="229">
        <f t="shared" si="101"/>
        <v>5.5051331647077983E-3</v>
      </c>
      <c r="L685" s="229">
        <f t="shared" si="98"/>
        <v>9.1349518221456538E-2</v>
      </c>
      <c r="M685" s="98"/>
      <c r="N685" s="98"/>
    </row>
    <row r="686" spans="1:14" x14ac:dyDescent="0.25">
      <c r="A686">
        <v>2</v>
      </c>
      <c r="B686" s="27">
        <v>46157</v>
      </c>
      <c r="C686" s="95">
        <v>1106718.8089151997</v>
      </c>
      <c r="D686" s="230">
        <v>0</v>
      </c>
      <c r="E686" s="95">
        <f t="shared" si="99"/>
        <v>1106718.8089151997</v>
      </c>
      <c r="F686" s="236">
        <v>68818.016949152545</v>
      </c>
      <c r="G686" s="95">
        <f t="shared" si="96"/>
        <v>16.081817785201793</v>
      </c>
      <c r="H686" s="65">
        <f t="shared" si="100"/>
        <v>-1.7767930207644222E-2</v>
      </c>
      <c r="I686" s="72">
        <f t="shared" si="97"/>
        <v>0.39181963594503655</v>
      </c>
      <c r="J686" s="207">
        <v>199.92</v>
      </c>
      <c r="K686" s="229">
        <f t="shared" si="101"/>
        <v>-1.3909440662918104E-2</v>
      </c>
      <c r="L686" s="229">
        <f t="shared" si="98"/>
        <v>7.6169456855250894E-2</v>
      </c>
      <c r="M686" s="98"/>
      <c r="N686" s="98"/>
    </row>
    <row r="687" spans="1:14" x14ac:dyDescent="0.25">
      <c r="A687">
        <v>2</v>
      </c>
      <c r="B687" s="27">
        <v>46158</v>
      </c>
      <c r="C687" s="95">
        <v>1106718.8089151997</v>
      </c>
      <c r="D687" s="230">
        <v>0</v>
      </c>
      <c r="E687" s="95">
        <f t="shared" si="99"/>
        <v>1106718.8089151997</v>
      </c>
      <c r="F687" s="236">
        <v>68818.016949152545</v>
      </c>
      <c r="G687" s="95">
        <f t="shared" si="96"/>
        <v>16.081817785201793</v>
      </c>
      <c r="H687" s="65">
        <f t="shared" si="100"/>
        <v>0</v>
      </c>
      <c r="I687" s="72">
        <f t="shared" si="97"/>
        <v>0.39181963594503655</v>
      </c>
      <c r="J687" s="207">
        <v>199.92</v>
      </c>
      <c r="K687" s="229">
        <f t="shared" si="101"/>
        <v>0</v>
      </c>
      <c r="L687" s="229">
        <f t="shared" si="98"/>
        <v>7.6169456855250894E-2</v>
      </c>
      <c r="M687" s="98"/>
      <c r="N687" s="98"/>
    </row>
    <row r="688" spans="1:14" x14ac:dyDescent="0.25">
      <c r="A688">
        <v>2</v>
      </c>
      <c r="B688" s="27">
        <v>46159</v>
      </c>
      <c r="C688" s="95">
        <v>1106718.8089151997</v>
      </c>
      <c r="D688" s="230">
        <v>0</v>
      </c>
      <c r="E688" s="95">
        <f t="shared" si="99"/>
        <v>1106718.8089151997</v>
      </c>
      <c r="F688" s="236">
        <v>68818.016949152545</v>
      </c>
      <c r="G688" s="95">
        <f t="shared" si="96"/>
        <v>16.081817785201793</v>
      </c>
      <c r="H688" s="65">
        <f t="shared" si="100"/>
        <v>0</v>
      </c>
      <c r="I688" s="72">
        <f t="shared" si="97"/>
        <v>0.39181963594503655</v>
      </c>
      <c r="J688" s="207">
        <v>199.92</v>
      </c>
      <c r="K688" s="229">
        <f t="shared" si="101"/>
        <v>0</v>
      </c>
      <c r="L688" s="229">
        <f t="shared" si="98"/>
        <v>7.6169456855250894E-2</v>
      </c>
      <c r="M688" s="98"/>
      <c r="N688" s="98"/>
    </row>
    <row r="689" spans="1:14" x14ac:dyDescent="0.25">
      <c r="A689">
        <v>2</v>
      </c>
      <c r="B689" s="27">
        <v>46160</v>
      </c>
      <c r="C689" s="95">
        <v>1096356.0649151998</v>
      </c>
      <c r="D689" s="230">
        <v>0</v>
      </c>
      <c r="E689" s="95">
        <f t="shared" si="99"/>
        <v>1096356.0649151998</v>
      </c>
      <c r="F689" s="236">
        <v>68818.016949152545</v>
      </c>
      <c r="G689" s="95">
        <f t="shared" si="96"/>
        <v>15.931235939641541</v>
      </c>
      <c r="H689" s="65">
        <f t="shared" si="100"/>
        <v>-9.3634841267020708E-3</v>
      </c>
      <c r="I689" s="72">
        <f t="shared" si="97"/>
        <v>0.37878735487663295</v>
      </c>
      <c r="J689" s="207">
        <v>200.25</v>
      </c>
      <c r="K689" s="229">
        <f t="shared" si="101"/>
        <v>1.6506602641057633E-3</v>
      </c>
      <c r="L689" s="229">
        <f t="shared" si="98"/>
        <v>7.7945847015126191E-2</v>
      </c>
      <c r="M689" s="98"/>
      <c r="N689" s="98"/>
    </row>
    <row r="690" spans="1:14" x14ac:dyDescent="0.25">
      <c r="A690">
        <v>2</v>
      </c>
      <c r="B690" s="27">
        <v>46161</v>
      </c>
      <c r="C690" s="95">
        <v>1091575.9646651999</v>
      </c>
      <c r="D690" s="230">
        <v>0</v>
      </c>
      <c r="E690" s="95">
        <f t="shared" si="99"/>
        <v>1091575.9646651999</v>
      </c>
      <c r="F690" s="236">
        <v>68818.016949152545</v>
      </c>
      <c r="G690" s="95">
        <f t="shared" si="96"/>
        <v>15.861775928122585</v>
      </c>
      <c r="H690" s="65">
        <f t="shared" si="100"/>
        <v>-4.3599888785853524E-3</v>
      </c>
      <c r="I690" s="72">
        <f t="shared" si="97"/>
        <v>0.37277585734343677</v>
      </c>
      <c r="J690" s="207">
        <v>198.97</v>
      </c>
      <c r="K690" s="229">
        <f t="shared" si="101"/>
        <v>-6.3920099875156566E-3</v>
      </c>
      <c r="L690" s="229">
        <f t="shared" si="98"/>
        <v>7.1055606395004522E-2</v>
      </c>
      <c r="M690" s="98"/>
      <c r="N690" s="98"/>
    </row>
    <row r="691" spans="1:14" x14ac:dyDescent="0.25">
      <c r="A691">
        <v>2</v>
      </c>
      <c r="B691" s="27">
        <v>46162</v>
      </c>
      <c r="C691" s="95">
        <v>1106785.9264151999</v>
      </c>
      <c r="D691" s="230">
        <v>0</v>
      </c>
      <c r="E691" s="95">
        <f t="shared" si="99"/>
        <v>1106785.9264151999</v>
      </c>
      <c r="F691" s="236">
        <v>68818.016949152545</v>
      </c>
      <c r="G691" s="95">
        <f t="shared" si="96"/>
        <v>16.082793074856674</v>
      </c>
      <c r="H691" s="65">
        <f t="shared" si="100"/>
        <v>1.393394710249507E-2</v>
      </c>
      <c r="I691" s="72">
        <f t="shared" si="97"/>
        <v>0.3919040435232426</v>
      </c>
      <c r="J691" s="207">
        <v>201.49</v>
      </c>
      <c r="K691" s="229">
        <f t="shared" si="101"/>
        <v>1.2665225913454314E-2</v>
      </c>
      <c r="L691" s="229">
        <f t="shared" si="98"/>
        <v>8.4620767615869008E-2</v>
      </c>
      <c r="M691" s="98"/>
      <c r="N691" s="98"/>
    </row>
    <row r="692" spans="1:14" x14ac:dyDescent="0.25">
      <c r="A692">
        <v>2</v>
      </c>
      <c r="B692" s="27">
        <v>46163</v>
      </c>
      <c r="C692" s="95">
        <v>1117657.9116152001</v>
      </c>
      <c r="D692" s="230">
        <v>0</v>
      </c>
      <c r="E692" s="95">
        <f t="shared" si="99"/>
        <v>1117657.9116152001</v>
      </c>
      <c r="F692" s="236">
        <v>68818.016949152545</v>
      </c>
      <c r="G692" s="95">
        <f t="shared" si="96"/>
        <v>16.240774744221447</v>
      </c>
      <c r="H692" s="65">
        <f t="shared" si="100"/>
        <v>9.823024435460459E-3</v>
      </c>
      <c r="I692" s="72">
        <f t="shared" si="97"/>
        <v>0.40557675095458756</v>
      </c>
      <c r="J692" s="207">
        <v>202.07</v>
      </c>
      <c r="K692" s="229">
        <f t="shared" si="101"/>
        <v>2.8785547669858413E-3</v>
      </c>
      <c r="L692" s="229">
        <f t="shared" si="98"/>
        <v>8.7742907896861677E-2</v>
      </c>
      <c r="M692" s="98"/>
      <c r="N692" s="98"/>
    </row>
    <row r="693" spans="1:14" x14ac:dyDescent="0.25">
      <c r="A693">
        <v>2</v>
      </c>
      <c r="B693" s="27">
        <v>46164</v>
      </c>
      <c r="C693" s="95">
        <v>1129193.7194151999</v>
      </c>
      <c r="D693" s="230">
        <v>0</v>
      </c>
      <c r="E693" s="95">
        <f t="shared" ref="E693:E695" si="102">C693-D693</f>
        <v>1129193.7194151999</v>
      </c>
      <c r="F693" s="236">
        <v>68818.016949152545</v>
      </c>
      <c r="G693" s="95">
        <f t="shared" ref="G693:G695" si="103">E693/F693</f>
        <v>16.408402471834162</v>
      </c>
      <c r="H693" s="65">
        <f t="shared" ref="H693:H695" si="104">G693/G692-1</f>
        <v>1.032141201714265E-2</v>
      </c>
      <c r="I693" s="72">
        <f t="shared" ref="I693:I695" si="105">G693/$G$552-1</f>
        <v>0.42008428772290674</v>
      </c>
      <c r="J693" s="207">
        <v>202.54</v>
      </c>
      <c r="K693" s="229">
        <f t="shared" ref="K693:K695" si="106">J693/J692-1</f>
        <v>2.3259266590784922E-3</v>
      </c>
      <c r="L693" s="229">
        <f t="shared" si="98"/>
        <v>9.0272918124562507E-2</v>
      </c>
      <c r="M693" s="98"/>
      <c r="N693" s="98"/>
    </row>
    <row r="694" spans="1:14" x14ac:dyDescent="0.25">
      <c r="A694">
        <v>2</v>
      </c>
      <c r="B694" s="27">
        <v>46165</v>
      </c>
      <c r="C694" s="95">
        <v>1129193.7194151999</v>
      </c>
      <c r="D694" s="230">
        <v>0</v>
      </c>
      <c r="E694" s="95">
        <f t="shared" si="102"/>
        <v>1129193.7194151999</v>
      </c>
      <c r="F694" s="236">
        <v>68818.016949152545</v>
      </c>
      <c r="G694" s="95">
        <f t="shared" si="103"/>
        <v>16.408402471834162</v>
      </c>
      <c r="H694" s="65">
        <f t="shared" si="104"/>
        <v>0</v>
      </c>
      <c r="I694" s="72">
        <f t="shared" si="105"/>
        <v>0.42008428772290674</v>
      </c>
      <c r="J694" s="207">
        <v>202.54</v>
      </c>
      <c r="K694" s="229">
        <f t="shared" si="106"/>
        <v>0</v>
      </c>
      <c r="L694" s="229">
        <f t="shared" ref="L694:L695" si="107">J694/$J$552-1</f>
        <v>9.0272918124562507E-2</v>
      </c>
      <c r="M694" s="98"/>
      <c r="N694" s="98"/>
    </row>
    <row r="695" spans="1:14" x14ac:dyDescent="0.25">
      <c r="A695">
        <v>2</v>
      </c>
      <c r="B695" s="27">
        <v>46166</v>
      </c>
      <c r="C695" s="95">
        <v>1129193.7194151999</v>
      </c>
      <c r="D695" s="230">
        <v>0</v>
      </c>
      <c r="E695" s="95">
        <f t="shared" si="102"/>
        <v>1129193.7194151999</v>
      </c>
      <c r="F695" s="236">
        <v>68818.016949152545</v>
      </c>
      <c r="G695" s="95">
        <f t="shared" si="103"/>
        <v>16.408402471834162</v>
      </c>
      <c r="H695" s="65">
        <f t="shared" si="104"/>
        <v>0</v>
      </c>
      <c r="I695" s="72">
        <f t="shared" si="105"/>
        <v>0.42008428772290674</v>
      </c>
      <c r="J695" s="207">
        <v>202.54</v>
      </c>
      <c r="K695" s="229">
        <f t="shared" si="106"/>
        <v>0</v>
      </c>
      <c r="L695" s="229">
        <f t="shared" si="107"/>
        <v>9.0272918124562507E-2</v>
      </c>
      <c r="M695" s="98"/>
      <c r="N695" s="98"/>
    </row>
    <row r="696" spans="1:14" x14ac:dyDescent="0.25">
      <c r="A696">
        <v>2</v>
      </c>
      <c r="B696" s="27">
        <v>46167</v>
      </c>
      <c r="C696" s="95">
        <v>1132540.1822151998</v>
      </c>
      <c r="D696" s="230">
        <v>0</v>
      </c>
      <c r="E696" s="95">
        <f t="shared" ref="E696" si="108">C696-D696</f>
        <v>1132540.1822151998</v>
      </c>
      <c r="F696" s="236">
        <v>68818.016949152545</v>
      </c>
      <c r="G696" s="95">
        <f t="shared" ref="G696" si="109">E696/F696</f>
        <v>16.45703018516209</v>
      </c>
      <c r="H696" s="65">
        <f t="shared" ref="H696" si="110">G696/G695-1</f>
        <v>2.9635860901997546E-3</v>
      </c>
      <c r="I696" s="72">
        <f t="shared" ref="I696" si="111">G696/$G$552-1</f>
        <v>0.42429282976491356</v>
      </c>
      <c r="J696" s="207">
        <v>202.54</v>
      </c>
      <c r="K696" s="229">
        <f t="shared" ref="K696:K705" si="112">J696/J695-1</f>
        <v>0</v>
      </c>
      <c r="L696" s="229">
        <f t="shared" ref="L696:L705" si="113">J696/$J$552-1</f>
        <v>9.0272918124562507E-2</v>
      </c>
      <c r="M696" s="98"/>
      <c r="N696" s="98"/>
    </row>
    <row r="697" spans="1:14" x14ac:dyDescent="0.25">
      <c r="A697">
        <v>2</v>
      </c>
      <c r="B697" s="27">
        <v>46168</v>
      </c>
      <c r="C697" s="95">
        <v>1151766.0836151999</v>
      </c>
      <c r="D697" s="230">
        <v>0</v>
      </c>
      <c r="E697" s="95">
        <f t="shared" ref="E697" si="114">C697-D697</f>
        <v>1151766.0836151999</v>
      </c>
      <c r="F697" s="236">
        <v>68818.016949152545</v>
      </c>
      <c r="G697" s="95">
        <f t="shared" ref="G697" si="115">E697/F697</f>
        <v>16.736403265822137</v>
      </c>
      <c r="H697" s="65">
        <f t="shared" ref="H697" si="116">G697/G696-1</f>
        <v>1.6975911055442605E-2</v>
      </c>
      <c r="I697" s="72">
        <f t="shared" ref="I697" si="117">G697/$G$552-1</f>
        <v>0.44847149815990761</v>
      </c>
      <c r="J697" s="207">
        <v>204</v>
      </c>
      <c r="K697" s="229">
        <f t="shared" si="112"/>
        <v>7.2084526513280789E-3</v>
      </c>
      <c r="L697" s="229">
        <f t="shared" si="113"/>
        <v>9.8132098831888781E-2</v>
      </c>
      <c r="M697" s="98"/>
      <c r="N697" s="98"/>
    </row>
    <row r="698" spans="1:14" x14ac:dyDescent="0.25">
      <c r="A698">
        <v>2</v>
      </c>
      <c r="B698" s="27">
        <v>46169</v>
      </c>
      <c r="C698" s="95">
        <v>1129123.0375151997</v>
      </c>
      <c r="D698" s="230">
        <v>0</v>
      </c>
      <c r="E698" s="95">
        <f t="shared" ref="E698" si="118">C698-D698</f>
        <v>1129123.0375151997</v>
      </c>
      <c r="F698" s="236">
        <v>68818.016949152545</v>
      </c>
      <c r="G698" s="95">
        <f t="shared" ref="G698" si="119">E698/F698</f>
        <v>16.407375387603409</v>
      </c>
      <c r="H698" s="65">
        <f t="shared" ref="H698" si="120">G698/G697-1</f>
        <v>-1.9659413853312491E-2</v>
      </c>
      <c r="I698" s="72">
        <f t="shared" ref="I698" si="121">G698/$G$552-1</f>
        <v>0.41999539752285431</v>
      </c>
      <c r="J698" s="207">
        <v>203.911</v>
      </c>
      <c r="K698" s="229">
        <f t="shared" si="112"/>
        <v>-4.3627450980388005E-4</v>
      </c>
      <c r="L698" s="229">
        <f t="shared" si="113"/>
        <v>9.765301178877106E-2</v>
      </c>
      <c r="M698" s="98"/>
      <c r="N698" s="98"/>
    </row>
    <row r="699" spans="1:14" x14ac:dyDescent="0.25">
      <c r="A699">
        <v>2</v>
      </c>
      <c r="B699" s="27">
        <v>46170</v>
      </c>
      <c r="C699" s="95">
        <v>1146519.8688151999</v>
      </c>
      <c r="D699" s="230">
        <v>0</v>
      </c>
      <c r="E699" s="95">
        <f t="shared" ref="E699" si="122">C699-D699</f>
        <v>1146519.8688151999</v>
      </c>
      <c r="F699" s="236">
        <v>68818.016949152545</v>
      </c>
      <c r="G699" s="95">
        <f t="shared" ref="G699" si="123">E699/F699</f>
        <v>16.660170107231181</v>
      </c>
      <c r="H699" s="65">
        <f t="shared" ref="H699" si="124">G699/G698-1</f>
        <v>1.540738318322199E-2</v>
      </c>
      <c r="I699" s="72">
        <f t="shared" ref="I699" si="125">G699/$G$552-1</f>
        <v>0.44187381073090082</v>
      </c>
      <c r="J699" s="207">
        <v>204.8</v>
      </c>
      <c r="K699" s="229">
        <f t="shared" si="112"/>
        <v>4.359745182947572E-3</v>
      </c>
      <c r="L699" s="229">
        <f t="shared" si="113"/>
        <v>0.10243849921946491</v>
      </c>
      <c r="M699" s="98"/>
      <c r="N699" s="98"/>
    </row>
    <row r="700" spans="1:14" x14ac:dyDescent="0.25">
      <c r="A700">
        <v>2</v>
      </c>
      <c r="B700" s="27">
        <v>46171</v>
      </c>
      <c r="C700" s="95">
        <v>1139415.1576151999</v>
      </c>
      <c r="D700" s="230">
        <v>0</v>
      </c>
      <c r="E700" s="95">
        <f t="shared" ref="E700:E702" si="126">C700-D700</f>
        <v>1139415.1576151999</v>
      </c>
      <c r="F700" s="236">
        <v>68818.016949152545</v>
      </c>
      <c r="G700" s="95">
        <f t="shared" ref="G700:G702" si="127">E700/F700</f>
        <v>16.556930991735459</v>
      </c>
      <c r="H700" s="65">
        <f t="shared" ref="H700:H702" si="128">G700/G699-1</f>
        <v>-6.1967623878529388E-3</v>
      </c>
      <c r="I700" s="72">
        <f t="shared" ref="I700:I702" si="129">G700/$G$552-1</f>
        <v>0.43293886133253334</v>
      </c>
      <c r="J700" s="207">
        <v>204.93</v>
      </c>
      <c r="K700" s="229">
        <f t="shared" si="112"/>
        <v>6.3476562500008882E-4</v>
      </c>
      <c r="L700" s="229">
        <f t="shared" si="113"/>
        <v>0.10313828928244595</v>
      </c>
      <c r="M700" s="98"/>
      <c r="N700" s="98"/>
    </row>
    <row r="701" spans="1:14" x14ac:dyDescent="0.25">
      <c r="A701">
        <v>2</v>
      </c>
      <c r="B701" s="27">
        <v>46172</v>
      </c>
      <c r="C701" s="95">
        <v>1139415.1576151999</v>
      </c>
      <c r="D701" s="230">
        <v>0</v>
      </c>
      <c r="E701" s="95">
        <f t="shared" si="126"/>
        <v>1139415.1576151999</v>
      </c>
      <c r="F701" s="236">
        <v>68818.016949152545</v>
      </c>
      <c r="G701" s="95">
        <f t="shared" si="127"/>
        <v>16.556930991735459</v>
      </c>
      <c r="H701" s="65">
        <f t="shared" si="128"/>
        <v>0</v>
      </c>
      <c r="I701" s="72">
        <f t="shared" si="129"/>
        <v>0.43293886133253334</v>
      </c>
      <c r="J701" s="207">
        <v>204.93</v>
      </c>
      <c r="K701" s="229">
        <f t="shared" si="112"/>
        <v>0</v>
      </c>
      <c r="L701" s="229">
        <f t="shared" si="113"/>
        <v>0.10313828928244595</v>
      </c>
      <c r="M701" s="98"/>
      <c r="N701" s="98"/>
    </row>
    <row r="702" spans="1:14" x14ac:dyDescent="0.25">
      <c r="A702">
        <v>2</v>
      </c>
      <c r="B702" s="27">
        <v>46173</v>
      </c>
      <c r="C702" s="95">
        <v>1139415.1576151999</v>
      </c>
      <c r="D702" s="230">
        <v>0</v>
      </c>
      <c r="E702" s="95">
        <f t="shared" si="126"/>
        <v>1139415.1576151999</v>
      </c>
      <c r="F702" s="236">
        <v>68818.016949152545</v>
      </c>
      <c r="G702" s="95">
        <f t="shared" si="127"/>
        <v>16.556930991735459</v>
      </c>
      <c r="H702" s="65">
        <f t="shared" si="128"/>
        <v>0</v>
      </c>
      <c r="I702" s="72">
        <f t="shared" si="129"/>
        <v>0.43293886133253334</v>
      </c>
      <c r="J702" s="207">
        <v>204.93</v>
      </c>
      <c r="K702" s="229">
        <f t="shared" si="112"/>
        <v>0</v>
      </c>
      <c r="L702" s="229">
        <f t="shared" si="113"/>
        <v>0.10313828928244595</v>
      </c>
      <c r="M702" s="98"/>
      <c r="N702" s="98"/>
    </row>
    <row r="703" spans="1:14" x14ac:dyDescent="0.25">
      <c r="A703">
        <v>2</v>
      </c>
      <c r="B703" s="27">
        <v>46174</v>
      </c>
      <c r="C703" s="95">
        <v>1139841.4446151999</v>
      </c>
      <c r="D703" s="230">
        <v>0</v>
      </c>
      <c r="E703" s="95">
        <f t="shared" ref="E703" si="130">C703-D703</f>
        <v>1139841.4446151999</v>
      </c>
      <c r="F703" s="236">
        <v>68818.016949152545</v>
      </c>
      <c r="G703" s="95">
        <f t="shared" ref="G703" si="131">E703/F703</f>
        <v>16.563125401555709</v>
      </c>
      <c r="H703" s="65">
        <f t="shared" ref="H703" si="132">G703/G702-1</f>
        <v>3.7412789987123496E-4</v>
      </c>
      <c r="I703" s="72">
        <f t="shared" ref="I703" si="133">G703/$G$552-1</f>
        <v>0.43347496373936734</v>
      </c>
      <c r="J703" s="207">
        <v>205.36</v>
      </c>
      <c r="K703" s="229">
        <f t="shared" si="112"/>
        <v>2.0982774605964316E-3</v>
      </c>
      <c r="L703" s="229">
        <f t="shared" si="113"/>
        <v>0.10545297949076815</v>
      </c>
      <c r="M703" s="98"/>
      <c r="N703" s="98"/>
    </row>
    <row r="704" spans="1:14" x14ac:dyDescent="0.25">
      <c r="A704">
        <v>2</v>
      </c>
      <c r="B704" s="27">
        <v>46175</v>
      </c>
      <c r="C704" s="95">
        <v>1172842.9196152</v>
      </c>
      <c r="D704" s="230">
        <v>0</v>
      </c>
      <c r="E704" s="95">
        <f t="shared" ref="E704" si="134">C704-D704</f>
        <v>1172842.9196152</v>
      </c>
      <c r="F704" s="236">
        <v>68818.016949152545</v>
      </c>
      <c r="G704" s="95">
        <f t="shared" ref="G704" si="135">E704/F704</f>
        <v>17.042672422278262</v>
      </c>
      <c r="H704" s="65">
        <f t="shared" ref="H704" si="136">G704/G703-1</f>
        <v>2.8952689126987563E-2</v>
      </c>
      <c r="I704" s="72">
        <f t="shared" ref="I704" si="137">G704/$G$552-1</f>
        <v>0.47497791873583295</v>
      </c>
      <c r="J704" s="207">
        <v>206.23</v>
      </c>
      <c r="K704" s="229">
        <f t="shared" si="112"/>
        <v>4.2364627970392643E-3</v>
      </c>
      <c r="L704" s="229">
        <f t="shared" si="113"/>
        <v>0.11013618991225704</v>
      </c>
      <c r="M704" s="98"/>
      <c r="N704" s="98"/>
    </row>
    <row r="705" spans="1:14" x14ac:dyDescent="0.25">
      <c r="A705">
        <v>2</v>
      </c>
      <c r="B705" s="27">
        <v>46176</v>
      </c>
      <c r="C705" s="95">
        <v>1166560.6234151998</v>
      </c>
      <c r="D705" s="230">
        <v>0</v>
      </c>
      <c r="E705" s="95">
        <f t="shared" ref="E705:E706" si="138">C705-D705</f>
        <v>1166560.6234151998</v>
      </c>
      <c r="F705" s="236">
        <v>68818.016949152545</v>
      </c>
      <c r="G705" s="95">
        <f t="shared" ref="G705" si="139">E705/F705</f>
        <v>16.951383883629408</v>
      </c>
      <c r="H705" s="65">
        <f t="shared" ref="H705" si="140">G705/G704-1</f>
        <v>-5.3564685389083655E-3</v>
      </c>
      <c r="I705" s="72">
        <f t="shared" ref="I705:I706" si="141">G705/$G$552-1</f>
        <v>0.46707724591854016</v>
      </c>
      <c r="J705" s="207">
        <v>204.65</v>
      </c>
      <c r="K705" s="229">
        <f t="shared" si="112"/>
        <v>-7.6613489792949352E-3</v>
      </c>
      <c r="L705" s="229">
        <f t="shared" si="113"/>
        <v>0.10163104914679444</v>
      </c>
      <c r="M705" s="98"/>
      <c r="N705" s="98"/>
    </row>
    <row r="706" spans="1:14" x14ac:dyDescent="0.25">
      <c r="A706">
        <v>2</v>
      </c>
      <c r="B706" s="27">
        <v>46177</v>
      </c>
      <c r="C706" s="95">
        <v>1164501.6700152</v>
      </c>
      <c r="D706" s="230">
        <v>0</v>
      </c>
      <c r="E706" s="95">
        <f t="shared" si="138"/>
        <v>1164501.6700152</v>
      </c>
      <c r="F706" s="236">
        <v>68818.016949152545</v>
      </c>
      <c r="G706" s="95">
        <f t="shared" ref="G706" si="142">E706/F706</f>
        <v>16.921465070340716</v>
      </c>
      <c r="H706" s="65">
        <f t="shared" ref="H706" si="143">G706/G705-1</f>
        <v>-1.764977626256603E-3</v>
      </c>
      <c r="I706" s="72">
        <f t="shared" si="141"/>
        <v>0.46448788740350389</v>
      </c>
      <c r="J706" s="207">
        <v>205.67</v>
      </c>
      <c r="K706" s="229">
        <f t="shared" ref="K706:K720" si="144">J706/J705-1</f>
        <v>4.9841192279500568E-3</v>
      </c>
      <c r="L706" s="229">
        <f t="shared" ref="L706:L720" si="145">J706/$J$552-1</f>
        <v>0.1071217096409538</v>
      </c>
      <c r="M706" s="98"/>
      <c r="N706" s="98"/>
    </row>
    <row r="707" spans="1:14" x14ac:dyDescent="0.25">
      <c r="A707">
        <v>2</v>
      </c>
      <c r="B707" s="27">
        <v>46178</v>
      </c>
      <c r="C707" s="95">
        <v>1107303.6331152001</v>
      </c>
      <c r="D707" s="230">
        <v>0</v>
      </c>
      <c r="E707" s="95">
        <f t="shared" ref="E707" si="146">C707-D707</f>
        <v>1107303.6331152001</v>
      </c>
      <c r="F707" s="236">
        <v>68818.016949152545</v>
      </c>
      <c r="G707" s="95">
        <f t="shared" ref="G707" si="147">E707/F707</f>
        <v>16.090315911505439</v>
      </c>
      <c r="H707" s="65">
        <f t="shared" ref="H707" si="148">G707/G706-1</f>
        <v>-4.9118037674650505E-2</v>
      </c>
      <c r="I707" s="72">
        <f t="shared" ref="I707" si="149">G707/$G$552-1</f>
        <v>0.39255511617594929</v>
      </c>
      <c r="J707" s="207">
        <v>200.38</v>
      </c>
      <c r="K707" s="229">
        <f t="shared" si="144"/>
        <v>-2.5720814897651545E-2</v>
      </c>
      <c r="L707" s="229">
        <f t="shared" si="145"/>
        <v>7.8645637078107233E-2</v>
      </c>
      <c r="M707" s="98"/>
      <c r="N707" s="98"/>
    </row>
    <row r="708" spans="1:14" x14ac:dyDescent="0.25">
      <c r="A708">
        <v>2</v>
      </c>
      <c r="B708" s="27">
        <v>46179</v>
      </c>
      <c r="C708" s="95">
        <v>1107303.6331152001</v>
      </c>
      <c r="D708" s="230">
        <v>0</v>
      </c>
      <c r="E708" s="95">
        <f t="shared" ref="E708:E709" si="150">C708-D708</f>
        <v>1107303.6331152001</v>
      </c>
      <c r="F708" s="236">
        <v>68818.016949152545</v>
      </c>
      <c r="G708" s="95">
        <f t="shared" ref="G708:G709" si="151">E708/F708</f>
        <v>16.090315911505439</v>
      </c>
      <c r="H708" s="65">
        <f t="shared" ref="H708:H709" si="152">G708/G707-1</f>
        <v>0</v>
      </c>
      <c r="I708" s="72">
        <f t="shared" ref="I708:I709" si="153">G708/$G$552-1</f>
        <v>0.39255511617594929</v>
      </c>
      <c r="J708" s="207">
        <v>200.38</v>
      </c>
      <c r="K708" s="229">
        <f t="shared" si="144"/>
        <v>0</v>
      </c>
      <c r="L708" s="229">
        <f t="shared" si="145"/>
        <v>7.8645637078107233E-2</v>
      </c>
      <c r="M708" s="98"/>
      <c r="N708" s="98"/>
    </row>
    <row r="709" spans="1:14" x14ac:dyDescent="0.25">
      <c r="A709">
        <v>2</v>
      </c>
      <c r="B709" s="27">
        <v>46180</v>
      </c>
      <c r="C709" s="95">
        <v>1107303.6331152001</v>
      </c>
      <c r="D709" s="230">
        <v>0</v>
      </c>
      <c r="E709" s="95">
        <f t="shared" si="150"/>
        <v>1107303.6331152001</v>
      </c>
      <c r="F709" s="236">
        <v>68818.016949152545</v>
      </c>
      <c r="G709" s="95">
        <f t="shared" si="151"/>
        <v>16.090315911505439</v>
      </c>
      <c r="H709" s="65">
        <f t="shared" si="152"/>
        <v>0</v>
      </c>
      <c r="I709" s="72">
        <f t="shared" si="153"/>
        <v>0.39255511617594929</v>
      </c>
      <c r="J709" s="207">
        <v>200.38</v>
      </c>
      <c r="K709" s="229">
        <f t="shared" si="144"/>
        <v>0</v>
      </c>
      <c r="L709" s="229">
        <f t="shared" si="145"/>
        <v>7.8645637078107233E-2</v>
      </c>
      <c r="M709" s="98"/>
      <c r="N709" s="98"/>
    </row>
    <row r="710" spans="1:14" x14ac:dyDescent="0.25">
      <c r="A710">
        <v>2</v>
      </c>
      <c r="B710" s="27">
        <v>46181</v>
      </c>
      <c r="C710" s="95">
        <v>1125094.7670152001</v>
      </c>
      <c r="D710" s="230">
        <v>0</v>
      </c>
      <c r="E710" s="95">
        <f t="shared" ref="E710" si="154">C710-D710</f>
        <v>1125094.7670152001</v>
      </c>
      <c r="F710" s="236">
        <v>68818.016949152545</v>
      </c>
      <c r="G710" s="95">
        <f t="shared" ref="G710" si="155">E710/F710</f>
        <v>16.348840273129301</v>
      </c>
      <c r="H710" s="65">
        <f t="shared" ref="H710" si="156">G710/G709-1</f>
        <v>1.6067078051525741E-2</v>
      </c>
      <c r="I710" s="72">
        <f t="shared" ref="I710" si="157">G710/$G$552-1</f>
        <v>0.41492940791859945</v>
      </c>
      <c r="J710" s="207">
        <v>201.05</v>
      </c>
      <c r="K710" s="229">
        <f t="shared" si="144"/>
        <v>3.3436470705661137E-3</v>
      </c>
      <c r="L710" s="229">
        <f t="shared" si="145"/>
        <v>8.2252247402702316E-2</v>
      </c>
      <c r="M710" s="98"/>
      <c r="N710" s="98"/>
    </row>
    <row r="711" spans="1:14" x14ac:dyDescent="0.25">
      <c r="A711">
        <v>2</v>
      </c>
      <c r="B711" s="27">
        <v>46182</v>
      </c>
      <c r="C711" s="95">
        <v>1117061.3805152001</v>
      </c>
      <c r="D711" s="230">
        <v>0</v>
      </c>
      <c r="E711" s="95">
        <f t="shared" ref="E711" si="158">C711-D711</f>
        <v>1117061.3805152001</v>
      </c>
      <c r="F711" s="236">
        <v>68818.016949152545</v>
      </c>
      <c r="G711" s="95">
        <f t="shared" ref="G711" si="159">E711/F711</f>
        <v>16.232106504036022</v>
      </c>
      <c r="H711" s="65">
        <f t="shared" ref="H711" si="160">G711/G710-1</f>
        <v>-7.1401865296305544E-3</v>
      </c>
      <c r="I711" s="72">
        <f t="shared" ref="I711" si="161">G711/$G$552-1</f>
        <v>0.404826548019801</v>
      </c>
      <c r="J711" s="207">
        <v>200.38</v>
      </c>
      <c r="K711" s="229">
        <f t="shared" si="144"/>
        <v>-3.3325043521512665E-3</v>
      </c>
      <c r="L711" s="229">
        <f t="shared" si="145"/>
        <v>7.8645637078107233E-2</v>
      </c>
      <c r="M711" s="98"/>
      <c r="N711" s="98"/>
    </row>
    <row r="712" spans="1:14" x14ac:dyDescent="0.25">
      <c r="A712">
        <v>2</v>
      </c>
      <c r="B712" s="27">
        <v>46183</v>
      </c>
      <c r="C712" s="95">
        <v>1101864.1909652001</v>
      </c>
      <c r="D712" s="230">
        <v>0</v>
      </c>
      <c r="E712" s="95">
        <f t="shared" ref="E712" si="162">C712-D712</f>
        <v>1101864.1909652001</v>
      </c>
      <c r="F712" s="236">
        <v>68818.016949152501</v>
      </c>
      <c r="G712" s="95">
        <f t="shared" ref="G712" si="163">E712/F712</f>
        <v>16.011274951141552</v>
      </c>
      <c r="H712" s="65">
        <f t="shared" ref="H712" si="164">G712/G711-1</f>
        <v>-1.3604614585270403E-2</v>
      </c>
      <c r="I712" s="72">
        <f t="shared" ref="I712" si="165">G712/$G$552-1</f>
        <v>0.38571442427483582</v>
      </c>
      <c r="J712" s="207">
        <v>197.44</v>
      </c>
      <c r="K712" s="229">
        <f t="shared" si="144"/>
        <v>-1.4672122966363887E-2</v>
      </c>
      <c r="L712" s="229">
        <f t="shared" si="145"/>
        <v>6.2819615653765259E-2</v>
      </c>
      <c r="M712" s="98"/>
      <c r="N712" s="98"/>
    </row>
    <row r="713" spans="1:14" x14ac:dyDescent="0.25">
      <c r="A713">
        <v>2</v>
      </c>
      <c r="B713" s="27">
        <v>46184</v>
      </c>
      <c r="C713" s="95">
        <v>1132039.9102151999</v>
      </c>
      <c r="D713" s="230">
        <v>0</v>
      </c>
      <c r="E713" s="95">
        <f t="shared" ref="E713" si="166">C713-D713</f>
        <v>1132039.9102151999</v>
      </c>
      <c r="F713" s="236">
        <v>68818.016949152545</v>
      </c>
      <c r="G713" s="95">
        <f t="shared" ref="G713" si="167">E713/F713</f>
        <v>16.449760693506011</v>
      </c>
      <c r="H713" s="65">
        <f t="shared" ref="H713" si="168">G713/G712-1</f>
        <v>2.7386060366991316E-2</v>
      </c>
      <c r="I713" s="72">
        <f t="shared" ref="I713" si="169">G713/$G$552-1</f>
        <v>0.42366368314943714</v>
      </c>
      <c r="J713" s="207">
        <v>201.54</v>
      </c>
      <c r="K713" s="229">
        <f t="shared" si="144"/>
        <v>2.0765802269043787E-2</v>
      </c>
      <c r="L713" s="229">
        <f t="shared" si="145"/>
        <v>8.4889917640092571E-2</v>
      </c>
      <c r="M713" s="98"/>
      <c r="N713" s="98"/>
    </row>
    <row r="714" spans="1:14" x14ac:dyDescent="0.25">
      <c r="A714">
        <v>2</v>
      </c>
      <c r="B714" s="27">
        <v>46185</v>
      </c>
      <c r="C714" s="95">
        <v>1134826.2000151998</v>
      </c>
      <c r="D714" s="230">
        <v>0</v>
      </c>
      <c r="E714" s="95">
        <f t="shared" ref="E714:E716" si="170">C714-D714</f>
        <v>1134826.2000151998</v>
      </c>
      <c r="F714" s="236">
        <v>68818.016949152545</v>
      </c>
      <c r="G714" s="95">
        <f t="shared" ref="G714:G716" si="171">E714/F714</f>
        <v>16.490248489050288</v>
      </c>
      <c r="H714" s="65">
        <f t="shared" ref="H714:H716" si="172">G714/G713-1</f>
        <v>2.4612999726043583E-3</v>
      </c>
      <c r="I714" s="72">
        <f t="shared" ref="I714:I716" si="173">G714/$G$552-1</f>
        <v>0.42716774653377088</v>
      </c>
      <c r="J714" s="207">
        <v>202.32</v>
      </c>
      <c r="K714" s="229">
        <f t="shared" si="144"/>
        <v>3.870199464126145E-3</v>
      </c>
      <c r="L714" s="229">
        <f t="shared" si="145"/>
        <v>8.908865801797905E-2</v>
      </c>
      <c r="M714" s="98"/>
      <c r="N714" s="98"/>
    </row>
    <row r="715" spans="1:14" x14ac:dyDescent="0.25">
      <c r="A715">
        <v>2</v>
      </c>
      <c r="B715" s="27">
        <v>46186</v>
      </c>
      <c r="C715" s="95">
        <v>1134826.2000151998</v>
      </c>
      <c r="D715" s="230">
        <v>0</v>
      </c>
      <c r="E715" s="95">
        <f t="shared" si="170"/>
        <v>1134826.2000151998</v>
      </c>
      <c r="F715" s="236">
        <v>68818.016949152545</v>
      </c>
      <c r="G715" s="95">
        <f t="shared" si="171"/>
        <v>16.490248489050288</v>
      </c>
      <c r="H715" s="65">
        <f t="shared" si="172"/>
        <v>0</v>
      </c>
      <c r="I715" s="72">
        <f t="shared" si="173"/>
        <v>0.42716774653377088</v>
      </c>
      <c r="J715" s="207">
        <v>202.32</v>
      </c>
      <c r="K715" s="229">
        <f t="shared" si="144"/>
        <v>0</v>
      </c>
      <c r="L715" s="229">
        <f t="shared" si="145"/>
        <v>8.908865801797905E-2</v>
      </c>
      <c r="M715" s="98"/>
      <c r="N715" s="98"/>
    </row>
    <row r="716" spans="1:14" x14ac:dyDescent="0.25">
      <c r="A716">
        <v>2</v>
      </c>
      <c r="B716" s="27">
        <v>46187</v>
      </c>
      <c r="C716" s="95">
        <v>1134826.2000151998</v>
      </c>
      <c r="D716" s="230">
        <v>0</v>
      </c>
      <c r="E716" s="95">
        <f t="shared" si="170"/>
        <v>1134826.2000151998</v>
      </c>
      <c r="F716" s="236">
        <v>68818.016949152545</v>
      </c>
      <c r="G716" s="95">
        <f t="shared" si="171"/>
        <v>16.490248489050288</v>
      </c>
      <c r="H716" s="65">
        <f t="shared" si="172"/>
        <v>0</v>
      </c>
      <c r="I716" s="72">
        <f t="shared" si="173"/>
        <v>0.42716774653377088</v>
      </c>
      <c r="J716" s="207">
        <v>202.32</v>
      </c>
      <c r="K716" s="229">
        <f t="shared" si="144"/>
        <v>0</v>
      </c>
      <c r="L716" s="229">
        <f t="shared" si="145"/>
        <v>8.908865801797905E-2</v>
      </c>
      <c r="M716" s="98"/>
      <c r="N716" s="98"/>
    </row>
    <row r="717" spans="1:14" x14ac:dyDescent="0.25">
      <c r="A717">
        <v>2</v>
      </c>
      <c r="B717" s="27">
        <v>46188</v>
      </c>
      <c r="C717" s="95">
        <v>1157249.7653651997</v>
      </c>
      <c r="D717" s="230">
        <v>0</v>
      </c>
      <c r="E717" s="95">
        <f t="shared" ref="E717" si="174">C717-D717</f>
        <v>1157249.7653651997</v>
      </c>
      <c r="F717" s="236">
        <v>68818.016949152545</v>
      </c>
      <c r="G717" s="95">
        <f t="shared" ref="G717" si="175">E717/F717</f>
        <v>16.816087075282262</v>
      </c>
      <c r="H717" s="65">
        <f t="shared" ref="H717" si="176">G717/G716-1</f>
        <v>1.9759470965421411E-2</v>
      </c>
      <c r="I717" s="72">
        <f t="shared" ref="I717" si="177">G717/$G$552-1</f>
        <v>0.45536782618419092</v>
      </c>
      <c r="J717" s="207">
        <v>203.63</v>
      </c>
      <c r="K717" s="229">
        <f t="shared" si="144"/>
        <v>6.474891261368132E-3</v>
      </c>
      <c r="L717" s="229">
        <f t="shared" si="145"/>
        <v>9.6140388652634856E-2</v>
      </c>
      <c r="M717" s="98"/>
      <c r="N717" s="98"/>
    </row>
    <row r="718" spans="1:14" x14ac:dyDescent="0.25">
      <c r="A718">
        <v>2</v>
      </c>
      <c r="B718" s="27">
        <v>46189</v>
      </c>
      <c r="C718" s="95">
        <v>1133853.7056152001</v>
      </c>
      <c r="D718" s="230">
        <v>0</v>
      </c>
      <c r="E718" s="95">
        <f t="shared" ref="E718" si="178">C718-D718</f>
        <v>1133853.7056152001</v>
      </c>
      <c r="F718" s="236">
        <v>68818.016949152545</v>
      </c>
      <c r="G718" s="95">
        <f t="shared" ref="G718" si="179">E718/F718</f>
        <v>16.476117096674969</v>
      </c>
      <c r="H718" s="65">
        <f t="shared" ref="H718" si="180">G718/G717-1</f>
        <v>-2.0216949227565006E-2</v>
      </c>
      <c r="I718" s="72">
        <f t="shared" ref="I718" si="181">G718/$G$552-1</f>
        <v>0.4259447287347935</v>
      </c>
      <c r="J718" s="207">
        <v>203.1</v>
      </c>
      <c r="K718" s="229">
        <f t="shared" si="144"/>
        <v>-2.6027599076756669E-3</v>
      </c>
      <c r="L718" s="229">
        <f t="shared" si="145"/>
        <v>9.328739839586575E-2</v>
      </c>
      <c r="M718" s="98"/>
      <c r="N718" s="98"/>
    </row>
    <row r="719" spans="1:14" x14ac:dyDescent="0.25">
      <c r="A719">
        <v>2</v>
      </c>
      <c r="B719" s="27">
        <v>46190</v>
      </c>
      <c r="C719" s="95">
        <v>1126482.7812151997</v>
      </c>
      <c r="D719" s="230">
        <v>0</v>
      </c>
      <c r="E719" s="95">
        <f t="shared" ref="E719" si="182">C719-D719</f>
        <v>1126482.7812151997</v>
      </c>
      <c r="F719" s="236">
        <v>68818.016949152545</v>
      </c>
      <c r="G719" s="95">
        <f t="shared" ref="G719" si="183">E719/F719</f>
        <v>16.369009616297461</v>
      </c>
      <c r="H719" s="65">
        <f t="shared" ref="H719" si="184">G719/G718-1</f>
        <v>-6.5007719809858644E-3</v>
      </c>
      <c r="I719" s="72">
        <f t="shared" ref="I719" si="185">G719/$G$552-1</f>
        <v>0.41667498719579976</v>
      </c>
      <c r="J719" s="207">
        <v>200.99</v>
      </c>
      <c r="K719" s="229">
        <f t="shared" si="144"/>
        <v>-1.0388970950270693E-2</v>
      </c>
      <c r="L719" s="229">
        <f t="shared" si="145"/>
        <v>8.192926737363404E-2</v>
      </c>
      <c r="M719" s="98"/>
      <c r="N719" s="98"/>
    </row>
    <row r="720" spans="1:14" x14ac:dyDescent="0.25">
      <c r="A720">
        <v>2</v>
      </c>
      <c r="B720" s="27">
        <v>46191</v>
      </c>
      <c r="C720" s="95">
        <v>1156066.0294152</v>
      </c>
      <c r="D720" s="230">
        <v>0</v>
      </c>
      <c r="E720" s="95">
        <f t="shared" ref="E720" si="186">C720-D720</f>
        <v>1156066.0294152</v>
      </c>
      <c r="F720" s="236">
        <v>68818.016949152545</v>
      </c>
      <c r="G720" s="95">
        <f t="shared" ref="G720" si="187">E720/F720</f>
        <v>16.798886115381393</v>
      </c>
      <c r="H720" s="65">
        <f t="shared" ref="H720" si="188">G720/G719-1</f>
        <v>2.6261607095394046E-2</v>
      </c>
      <c r="I720" s="72">
        <f t="shared" ref="I720" si="189">G720/$G$552-1</f>
        <v>0.45387914909140825</v>
      </c>
      <c r="J720" s="207">
        <v>202.73</v>
      </c>
      <c r="K720" s="229">
        <f t="shared" si="144"/>
        <v>8.6571471217471441E-3</v>
      </c>
      <c r="L720" s="229">
        <f t="shared" si="145"/>
        <v>9.1295688216611826E-2</v>
      </c>
      <c r="M720" s="98"/>
      <c r="N720" s="98"/>
    </row>
    <row r="721" spans="1:14" x14ac:dyDescent="0.25">
      <c r="A721">
        <v>2</v>
      </c>
      <c r="B721" s="27">
        <v>46192</v>
      </c>
      <c r="C721" s="95">
        <v>1155390.4190151999</v>
      </c>
      <c r="D721" s="230">
        <v>0</v>
      </c>
      <c r="E721" s="95">
        <f t="shared" ref="E721" si="190">C721-D721</f>
        <v>1155390.4190151999</v>
      </c>
      <c r="F721" s="236">
        <v>68818.016949152545</v>
      </c>
      <c r="G721" s="95">
        <f t="shared" ref="G721" si="191">E721/F721</f>
        <v>16.789068767687411</v>
      </c>
      <c r="H721" s="65">
        <f t="shared" ref="H721" si="192">G721/G720-1</f>
        <v>-5.8440468174814075E-4</v>
      </c>
      <c r="I721" s="72">
        <f t="shared" ref="I721" si="193">G721/$G$552-1</f>
        <v>0.45302949530998338</v>
      </c>
      <c r="J721" s="207">
        <v>202.73</v>
      </c>
      <c r="K721" s="229">
        <f t="shared" ref="K721:K734" si="194">J721/J720-1</f>
        <v>0</v>
      </c>
      <c r="L721" s="229">
        <f t="shared" ref="L721:L734" si="195">J721/$J$552-1</f>
        <v>9.1295688216611826E-2</v>
      </c>
      <c r="M721" s="98"/>
      <c r="N721" s="98"/>
    </row>
    <row r="722" spans="1:14" x14ac:dyDescent="0.25">
      <c r="A722">
        <v>2</v>
      </c>
      <c r="B722" s="27">
        <v>46193</v>
      </c>
      <c r="C722" s="95">
        <v>1155390.4190151999</v>
      </c>
      <c r="D722" s="230">
        <v>0</v>
      </c>
      <c r="E722" s="95">
        <f t="shared" ref="E722:E723" si="196">C722-D722</f>
        <v>1155390.4190151999</v>
      </c>
      <c r="F722" s="236">
        <v>68818.016949152545</v>
      </c>
      <c r="G722" s="95">
        <f t="shared" ref="G722:G723" si="197">E722/F722</f>
        <v>16.789068767687411</v>
      </c>
      <c r="H722" s="65">
        <f t="shared" ref="H722:H723" si="198">G722/G721-1</f>
        <v>0</v>
      </c>
      <c r="I722" s="72">
        <f t="shared" ref="I722:I723" si="199">G722/$G$552-1</f>
        <v>0.45302949530998338</v>
      </c>
      <c r="J722" s="207">
        <v>202.73</v>
      </c>
      <c r="K722" s="229">
        <f t="shared" si="194"/>
        <v>0</v>
      </c>
      <c r="L722" s="229">
        <f t="shared" si="195"/>
        <v>9.1295688216611826E-2</v>
      </c>
      <c r="M722" s="98"/>
      <c r="N722" s="98"/>
    </row>
    <row r="723" spans="1:14" x14ac:dyDescent="0.25">
      <c r="A723">
        <v>2</v>
      </c>
      <c r="B723" s="27">
        <v>46194</v>
      </c>
      <c r="C723" s="95">
        <v>1155390.4190151999</v>
      </c>
      <c r="D723" s="230">
        <v>0</v>
      </c>
      <c r="E723" s="95">
        <f t="shared" si="196"/>
        <v>1155390.4190151999</v>
      </c>
      <c r="F723" s="236">
        <v>68818.016949152545</v>
      </c>
      <c r="G723" s="95">
        <f t="shared" si="197"/>
        <v>16.789068767687411</v>
      </c>
      <c r="H723" s="65">
        <f t="shared" si="198"/>
        <v>0</v>
      </c>
      <c r="I723" s="72">
        <f t="shared" si="199"/>
        <v>0.45302949530998338</v>
      </c>
      <c r="J723" s="207">
        <v>202.73</v>
      </c>
      <c r="K723" s="229">
        <f t="shared" si="194"/>
        <v>0</v>
      </c>
      <c r="L723" s="229">
        <f t="shared" si="195"/>
        <v>9.1295688216611826E-2</v>
      </c>
      <c r="M723" s="98"/>
      <c r="N723" s="98"/>
    </row>
    <row r="724" spans="1:14" x14ac:dyDescent="0.25">
      <c r="A724">
        <v>2</v>
      </c>
      <c r="B724" s="27">
        <v>46195</v>
      </c>
      <c r="C724" s="95">
        <v>1163013.0852152</v>
      </c>
      <c r="D724" s="230">
        <v>0</v>
      </c>
      <c r="E724" s="95">
        <f t="shared" ref="E724" si="200">C724-D724</f>
        <v>1163013.0852152</v>
      </c>
      <c r="F724" s="236">
        <v>68818.016949152545</v>
      </c>
      <c r="G724" s="95">
        <f t="shared" ref="G724" si="201">E724/F724</f>
        <v>16.89983432789866</v>
      </c>
      <c r="H724" s="65">
        <f t="shared" ref="H724" si="202">G724/G723-1</f>
        <v>6.5974808813953345E-3</v>
      </c>
      <c r="I724" s="72">
        <f t="shared" ref="I724" si="203">G724/$G$552-1</f>
        <v>0.46261582962539438</v>
      </c>
      <c r="J724" s="207">
        <v>202.41</v>
      </c>
      <c r="K724" s="229">
        <f t="shared" si="194"/>
        <v>-1.5784541015142484E-3</v>
      </c>
      <c r="L724" s="229">
        <f t="shared" si="195"/>
        <v>8.9573128061581464E-2</v>
      </c>
      <c r="M724" s="98"/>
      <c r="N724" s="98"/>
    </row>
    <row r="725" spans="1:14" x14ac:dyDescent="0.25">
      <c r="A725">
        <v>2</v>
      </c>
      <c r="B725" s="27">
        <v>46196</v>
      </c>
      <c r="C725" s="95">
        <v>1127785.7010152</v>
      </c>
      <c r="D725" s="230">
        <v>0</v>
      </c>
      <c r="E725" s="95">
        <f t="shared" ref="E725" si="204">C725-D725</f>
        <v>1127785.7010152</v>
      </c>
      <c r="F725" s="236">
        <v>68818.016949152545</v>
      </c>
      <c r="G725" s="95">
        <f t="shared" ref="G725" si="205">E725/F725</f>
        <v>16.38794244606736</v>
      </c>
      <c r="H725" s="65">
        <f t="shared" ref="H725" si="206">G725/G724-1</f>
        <v>-3.0289757396393946E-2</v>
      </c>
      <c r="I725" s="72">
        <f t="shared" ref="I725" si="207">G725/$G$552-1</f>
        <v>0.4183135509819158</v>
      </c>
      <c r="J725" s="207">
        <v>199.43</v>
      </c>
      <c r="K725" s="229">
        <f t="shared" si="194"/>
        <v>-1.4722592757274833E-2</v>
      </c>
      <c r="L725" s="229">
        <f t="shared" si="195"/>
        <v>7.3531786617860861E-2</v>
      </c>
      <c r="M725" s="98"/>
      <c r="N725" s="98"/>
    </row>
    <row r="726" spans="1:14" x14ac:dyDescent="0.25">
      <c r="A726">
        <v>2</v>
      </c>
      <c r="B726" s="27">
        <v>46197</v>
      </c>
      <c r="C726" s="95">
        <v>1121844.3614151999</v>
      </c>
      <c r="D726" s="230">
        <v>0</v>
      </c>
      <c r="E726" s="95">
        <f t="shared" ref="E726" si="208">C726-D726</f>
        <v>1121844.3614151999</v>
      </c>
      <c r="F726" s="236">
        <v>68818.016949152545</v>
      </c>
      <c r="G726" s="95">
        <f t="shared" ref="G726" si="209">E726/F726</f>
        <v>16.301608374505985</v>
      </c>
      <c r="H726" s="65">
        <f t="shared" ref="H726" si="210">G726/G725-1</f>
        <v>-5.2681458850309948E-3</v>
      </c>
      <c r="I726" s="72">
        <f t="shared" ref="I726" si="211">G726/$G$552-1</f>
        <v>0.41084166828462676</v>
      </c>
      <c r="J726" s="207">
        <v>199</v>
      </c>
      <c r="K726" s="229">
        <f t="shared" si="194"/>
        <v>-2.156145013287869E-3</v>
      </c>
      <c r="L726" s="229">
        <f t="shared" si="195"/>
        <v>7.121709640953866E-2</v>
      </c>
      <c r="M726" s="98"/>
      <c r="N726" s="98"/>
    </row>
    <row r="727" spans="1:14" x14ac:dyDescent="0.25">
      <c r="A727">
        <v>2</v>
      </c>
      <c r="B727" s="27">
        <v>46198</v>
      </c>
      <c r="C727" s="95">
        <v>1133047.2314152</v>
      </c>
      <c r="D727" s="230">
        <v>0</v>
      </c>
      <c r="E727" s="95">
        <f t="shared" ref="E727" si="212">C727-D727</f>
        <v>1133047.2314152</v>
      </c>
      <c r="F727" s="236">
        <v>68818.016949152545</v>
      </c>
      <c r="G727" s="95">
        <f t="shared" ref="G727" si="213">E727/F727</f>
        <v>16.464398156842748</v>
      </c>
      <c r="H727" s="65">
        <f t="shared" ref="H727" si="214">G727/G726-1</f>
        <v>9.9861178478160006E-3</v>
      </c>
      <c r="I727" s="72">
        <f t="shared" ref="I727" si="215">G727/$G$552-1</f>
        <v>0.42493049944872663</v>
      </c>
      <c r="J727" s="207">
        <v>199.29</v>
      </c>
      <c r="K727" s="229">
        <f t="shared" si="194"/>
        <v>1.4572864321606982E-3</v>
      </c>
      <c r="L727" s="229">
        <f t="shared" si="195"/>
        <v>7.2778166550034884E-2</v>
      </c>
      <c r="M727" s="98"/>
      <c r="N727" s="98"/>
    </row>
    <row r="728" spans="1:14" x14ac:dyDescent="0.25">
      <c r="A728">
        <v>2</v>
      </c>
      <c r="B728" s="27">
        <v>46199</v>
      </c>
      <c r="C728" s="95">
        <v>1109165.9414151998</v>
      </c>
      <c r="D728" s="230">
        <v>0</v>
      </c>
      <c r="E728" s="95">
        <f t="shared" ref="E728:E730" si="216">C728-D728</f>
        <v>1109165.9414151998</v>
      </c>
      <c r="F728" s="236">
        <v>68818.016949152545</v>
      </c>
      <c r="G728" s="95">
        <f t="shared" ref="G728:G730" si="217">E728/F728</f>
        <v>16.117377259427968</v>
      </c>
      <c r="H728" s="65">
        <f t="shared" ref="H728:H730" si="218">G728/G727-1</f>
        <v>-2.1077047220857792E-2</v>
      </c>
      <c r="I728" s="72">
        <f t="shared" ref="I728:I731" si="219">G728/$G$552-1</f>
        <v>0.39489717202540509</v>
      </c>
      <c r="J728" s="207">
        <v>197.36</v>
      </c>
      <c r="K728" s="229">
        <f t="shared" si="194"/>
        <v>-9.684379547393096E-3</v>
      </c>
      <c r="L728" s="229">
        <f t="shared" si="195"/>
        <v>6.238897561500778E-2</v>
      </c>
      <c r="M728" s="98"/>
      <c r="N728" s="98"/>
    </row>
    <row r="729" spans="1:14" x14ac:dyDescent="0.25">
      <c r="A729">
        <v>2</v>
      </c>
      <c r="B729" s="27">
        <v>46200</v>
      </c>
      <c r="C729" s="95">
        <v>1109165.9414151998</v>
      </c>
      <c r="D729" s="230">
        <v>0</v>
      </c>
      <c r="E729" s="95">
        <f t="shared" si="216"/>
        <v>1109165.9414151998</v>
      </c>
      <c r="F729" s="236">
        <v>68818.016949152545</v>
      </c>
      <c r="G729" s="95">
        <f t="shared" si="217"/>
        <v>16.117377259427968</v>
      </c>
      <c r="H729" s="65">
        <f t="shared" si="218"/>
        <v>0</v>
      </c>
      <c r="I729" s="72">
        <f t="shared" si="219"/>
        <v>0.39489717202540509</v>
      </c>
      <c r="J729" s="207">
        <v>197.36</v>
      </c>
      <c r="K729" s="229">
        <f t="shared" si="194"/>
        <v>0</v>
      </c>
      <c r="L729" s="229">
        <f t="shared" si="195"/>
        <v>6.238897561500778E-2</v>
      </c>
      <c r="M729" s="98"/>
      <c r="N729" s="98"/>
    </row>
    <row r="730" spans="1:14" x14ac:dyDescent="0.25">
      <c r="A730">
        <v>2</v>
      </c>
      <c r="B730" s="27">
        <v>46201</v>
      </c>
      <c r="C730" s="95">
        <v>1109165.9414151998</v>
      </c>
      <c r="D730" s="230">
        <v>0</v>
      </c>
      <c r="E730" s="95">
        <f t="shared" si="216"/>
        <v>1109165.9414151998</v>
      </c>
      <c r="F730" s="236">
        <v>68818.016949152545</v>
      </c>
      <c r="G730" s="95">
        <f t="shared" si="217"/>
        <v>16.117377259427968</v>
      </c>
      <c r="H730" s="65">
        <f t="shared" si="218"/>
        <v>0</v>
      </c>
      <c r="I730" s="72">
        <f t="shared" si="219"/>
        <v>0.39489717202540509</v>
      </c>
      <c r="J730" s="207">
        <v>197.36</v>
      </c>
      <c r="K730" s="229">
        <f t="shared" si="194"/>
        <v>0</v>
      </c>
      <c r="L730" s="229">
        <f t="shared" si="195"/>
        <v>6.238897561500778E-2</v>
      </c>
      <c r="M730" s="98"/>
      <c r="N730" s="98"/>
    </row>
    <row r="731" spans="1:14" x14ac:dyDescent="0.25">
      <c r="A731">
        <v>2</v>
      </c>
      <c r="B731" s="27">
        <v>46202</v>
      </c>
      <c r="C731" s="95">
        <v>1113210.5314151999</v>
      </c>
      <c r="D731" s="230">
        <v>0</v>
      </c>
      <c r="E731" s="95">
        <f t="shared" ref="E731" si="220">C731-D731</f>
        <v>1113210.5314151999</v>
      </c>
      <c r="F731" s="236">
        <v>68818.016949152545</v>
      </c>
      <c r="G731" s="95">
        <f t="shared" ref="G731" si="221">E731/F731</f>
        <v>16.176149513836119</v>
      </c>
      <c r="H731" s="65">
        <f t="shared" ref="H731" si="222">G731/G730-1</f>
        <v>3.6465147810429421E-3</v>
      </c>
      <c r="I731" s="72">
        <f t="shared" si="219"/>
        <v>0.39998368518123084</v>
      </c>
      <c r="J731" s="207">
        <v>201.24</v>
      </c>
      <c r="K731" s="229">
        <f t="shared" si="194"/>
        <v>1.9659505472233496E-2</v>
      </c>
      <c r="L731" s="229">
        <f t="shared" si="195"/>
        <v>8.3275017494751635E-2</v>
      </c>
      <c r="M731" s="98"/>
      <c r="N731" s="98"/>
    </row>
    <row r="732" spans="1:14" x14ac:dyDescent="0.25">
      <c r="A732">
        <v>2</v>
      </c>
      <c r="B732" s="27">
        <v>46203</v>
      </c>
      <c r="C732" s="95">
        <v>1125698.0814151999</v>
      </c>
      <c r="D732" s="230">
        <v>0</v>
      </c>
      <c r="E732" s="95">
        <f t="shared" ref="E732" si="223">C732-D732</f>
        <v>1125698.0814151999</v>
      </c>
      <c r="F732" s="236">
        <v>68818.016949152545</v>
      </c>
      <c r="G732" s="95">
        <f t="shared" ref="G732" si="224">E732/F732</f>
        <v>16.357607081978873</v>
      </c>
      <c r="H732" s="65">
        <f t="shared" ref="H732" si="225">G732/G731-1</f>
        <v>1.1217599589293137E-2</v>
      </c>
      <c r="I732" s="72">
        <f t="shared" ref="I732" si="226">G732/$G$552-1</f>
        <v>0.41568814159313727</v>
      </c>
      <c r="J732" s="207">
        <v>202.64</v>
      </c>
      <c r="K732" s="229">
        <f t="shared" si="194"/>
        <v>6.9568674219835369E-3</v>
      </c>
      <c r="L732" s="229">
        <f t="shared" si="195"/>
        <v>9.0811218173009411E-2</v>
      </c>
      <c r="M732" s="98"/>
      <c r="N732" s="98"/>
    </row>
    <row r="733" spans="1:14" x14ac:dyDescent="0.25">
      <c r="A733">
        <v>3</v>
      </c>
      <c r="B733" s="27">
        <v>46204</v>
      </c>
      <c r="C733" s="95">
        <v>1115595.0914151999</v>
      </c>
      <c r="D733" s="230">
        <v>0</v>
      </c>
      <c r="E733" s="95">
        <f t="shared" ref="E733" si="227">C733-D733</f>
        <v>1115595.0914151999</v>
      </c>
      <c r="F733" s="236">
        <v>68818.016949152545</v>
      </c>
      <c r="G733" s="95">
        <f t="shared" ref="G733" si="228">E733/F733</f>
        <v>16.21079974215877</v>
      </c>
      <c r="H733" s="65">
        <f t="shared" ref="H733" si="229">G733/G732-1</f>
        <v>-8.9748664999932393E-3</v>
      </c>
      <c r="I733" s="72">
        <f t="shared" ref="I733" si="230">G733/$G$552-1</f>
        <v>0.40298252951671532</v>
      </c>
      <c r="J733" s="207">
        <v>202.08</v>
      </c>
      <c r="K733" s="229">
        <f t="shared" si="194"/>
        <v>-2.7635215159887982E-3</v>
      </c>
      <c r="L733" s="229">
        <f t="shared" si="195"/>
        <v>8.779673790170639E-2</v>
      </c>
    </row>
    <row r="734" spans="1:14" x14ac:dyDescent="0.25">
      <c r="A734">
        <v>4</v>
      </c>
      <c r="B734" s="27">
        <v>46205</v>
      </c>
      <c r="C734" s="95">
        <v>1100220.1999999997</v>
      </c>
      <c r="D734" s="230">
        <v>0</v>
      </c>
      <c r="E734" s="95">
        <f t="shared" ref="E734" si="231">C734-D734</f>
        <v>1100220.1999999997</v>
      </c>
      <c r="F734" s="236">
        <v>68818.016949152545</v>
      </c>
      <c r="G734" s="95">
        <f t="shared" ref="G734" si="232">E734/F734</f>
        <v>15.98738598952826</v>
      </c>
      <c r="H734" s="65">
        <f t="shared" ref="H734" si="233">G734/G733-1</f>
        <v>-1.3781784747453729E-2</v>
      </c>
      <c r="I734" s="72">
        <f t="shared" ref="I734" si="234">G734/$G$552-1</f>
        <v>0.38364692629047781</v>
      </c>
      <c r="J734" s="207">
        <v>202.65</v>
      </c>
      <c r="K734" s="229">
        <f t="shared" si="194"/>
        <v>2.8206650831352764E-3</v>
      </c>
      <c r="L734" s="229">
        <f t="shared" si="195"/>
        <v>9.0865048177854346E-2</v>
      </c>
    </row>
    <row r="735" spans="1:14" x14ac:dyDescent="0.25">
      <c r="A735">
        <v>5</v>
      </c>
      <c r="B735" s="27">
        <v>46206</v>
      </c>
      <c r="C735" s="95">
        <v>1100220.1999999997</v>
      </c>
      <c r="D735" s="230">
        <v>0</v>
      </c>
      <c r="E735" s="95">
        <f t="shared" ref="E735:E737" si="235">C735-D735</f>
        <v>1100220.1999999997</v>
      </c>
      <c r="F735" s="236">
        <v>68818.016949152545</v>
      </c>
      <c r="G735" s="95">
        <f t="shared" ref="G735:G737" si="236">E735/F735</f>
        <v>15.98738598952826</v>
      </c>
      <c r="H735" s="65">
        <f t="shared" ref="H735:H737" si="237">G735/G734-1</f>
        <v>0</v>
      </c>
      <c r="I735" s="72">
        <f t="shared" ref="I735:I737" si="238">G735/$G$552-1</f>
        <v>0.38364692629047781</v>
      </c>
      <c r="J735" s="207">
        <v>202.65</v>
      </c>
      <c r="K735" s="229">
        <f t="shared" ref="K735:K760" si="239">J735/J734-1</f>
        <v>0</v>
      </c>
      <c r="L735" s="229">
        <f t="shared" ref="L735:L760" si="240">J735/$J$552-1</f>
        <v>9.0865048177854346E-2</v>
      </c>
    </row>
    <row r="736" spans="1:14" x14ac:dyDescent="0.25">
      <c r="A736">
        <v>6</v>
      </c>
      <c r="B736" s="27">
        <v>46207</v>
      </c>
      <c r="C736" s="95">
        <v>1100220.1999999997</v>
      </c>
      <c r="D736" s="230">
        <v>0</v>
      </c>
      <c r="E736" s="95">
        <f t="shared" si="235"/>
        <v>1100220.1999999997</v>
      </c>
      <c r="F736" s="236">
        <v>68818.016949152545</v>
      </c>
      <c r="G736" s="95">
        <f t="shared" si="236"/>
        <v>15.98738598952826</v>
      </c>
      <c r="H736" s="65">
        <f t="shared" si="237"/>
        <v>0</v>
      </c>
      <c r="I736" s="72">
        <f t="shared" si="238"/>
        <v>0.38364692629047781</v>
      </c>
      <c r="J736" s="207">
        <v>202.65</v>
      </c>
      <c r="K736" s="229">
        <f t="shared" si="239"/>
        <v>0</v>
      </c>
      <c r="L736" s="229">
        <f t="shared" si="240"/>
        <v>9.0865048177854346E-2</v>
      </c>
    </row>
    <row r="737" spans="1:12" x14ac:dyDescent="0.25">
      <c r="A737">
        <v>7</v>
      </c>
      <c r="B737" s="27">
        <v>46208</v>
      </c>
      <c r="C737" s="95">
        <v>1100220.1999999997</v>
      </c>
      <c r="D737" s="230">
        <v>0</v>
      </c>
      <c r="E737" s="95">
        <f t="shared" si="235"/>
        <v>1100220.1999999997</v>
      </c>
      <c r="F737" s="236">
        <v>68818.016949152545</v>
      </c>
      <c r="G737" s="95">
        <f t="shared" si="236"/>
        <v>15.98738598952826</v>
      </c>
      <c r="H737" s="65">
        <f t="shared" si="237"/>
        <v>0</v>
      </c>
      <c r="I737" s="72">
        <f t="shared" si="238"/>
        <v>0.38364692629047781</v>
      </c>
      <c r="J737" s="207">
        <v>202.65</v>
      </c>
      <c r="K737" s="229">
        <f t="shared" si="239"/>
        <v>0</v>
      </c>
      <c r="L737" s="229">
        <f t="shared" si="240"/>
        <v>9.0865048177854346E-2</v>
      </c>
    </row>
    <row r="738" spans="1:12" x14ac:dyDescent="0.25">
      <c r="A738">
        <v>8</v>
      </c>
      <c r="B738" s="27">
        <v>46209</v>
      </c>
      <c r="C738" s="95">
        <v>1101492.71</v>
      </c>
      <c r="D738" s="230">
        <v>0</v>
      </c>
      <c r="E738" s="95">
        <f t="shared" ref="E738" si="241">C738-D738</f>
        <v>1101492.71</v>
      </c>
      <c r="F738" s="236">
        <v>68818.016949152545</v>
      </c>
      <c r="G738" s="95">
        <f t="shared" ref="G738" si="242">E738/F738</f>
        <v>16.005876932110063</v>
      </c>
      <c r="H738" s="65">
        <f t="shared" ref="H738" si="243">G738/G737-1</f>
        <v>1.1565957432888574E-3</v>
      </c>
      <c r="I738" s="72">
        <f t="shared" ref="I738" si="244">G738/$G$552-1</f>
        <v>0.38524724643564001</v>
      </c>
      <c r="J738" s="207">
        <v>204.44</v>
      </c>
      <c r="K738" s="229">
        <f t="shared" si="239"/>
        <v>8.8329632371082489E-3</v>
      </c>
      <c r="L738" s="229">
        <f t="shared" si="240"/>
        <v>0.10050061904505569</v>
      </c>
    </row>
    <row r="739" spans="1:12" x14ac:dyDescent="0.25">
      <c r="A739">
        <v>9</v>
      </c>
      <c r="B739" s="27">
        <v>46210</v>
      </c>
      <c r="C739" s="95">
        <v>1088497.9099999997</v>
      </c>
      <c r="D739" s="230">
        <v>0</v>
      </c>
      <c r="E739" s="95">
        <f t="shared" ref="E739" si="245">C739-D739</f>
        <v>1088497.9099999997</v>
      </c>
      <c r="F739" s="236">
        <v>68818.016949152545</v>
      </c>
      <c r="G739" s="95">
        <f t="shared" ref="G739" si="246">E739/F739</f>
        <v>15.817048474446109</v>
      </c>
      <c r="H739" s="65">
        <f t="shared" ref="H739" si="247">G739/G738-1</f>
        <v>-1.1797445304926546E-2</v>
      </c>
      <c r="I739" s="72">
        <f t="shared" ref="I739" si="248">G739/$G$552-1</f>
        <v>0.36890486781201548</v>
      </c>
      <c r="J739" s="207">
        <v>203.13</v>
      </c>
      <c r="K739" s="229">
        <f t="shared" si="239"/>
        <v>-6.4077479945215954E-3</v>
      </c>
      <c r="L739" s="229">
        <f t="shared" si="240"/>
        <v>9.3448888410399888E-2</v>
      </c>
    </row>
    <row r="740" spans="1:12" x14ac:dyDescent="0.25">
      <c r="A740">
        <v>10</v>
      </c>
      <c r="B740" s="27">
        <v>46211</v>
      </c>
      <c r="C740" s="95">
        <v>1091074.4899999998</v>
      </c>
      <c r="D740" s="230">
        <v>0</v>
      </c>
      <c r="E740" s="95">
        <f t="shared" ref="E740" si="249">C740-D740</f>
        <v>1091074.4899999998</v>
      </c>
      <c r="F740" s="236">
        <v>68818.016949152545</v>
      </c>
      <c r="G740" s="95">
        <f t="shared" ref="G740" si="250">E740/F740</f>
        <v>15.854488960444185</v>
      </c>
      <c r="H740" s="65">
        <f t="shared" ref="H740" si="251">G740/G739-1</f>
        <v>2.3670968738929155E-3</v>
      </c>
      <c r="I740" s="72">
        <f t="shared" ref="I740" si="252">G740/$G$552-1</f>
        <v>0.37214519824527015</v>
      </c>
      <c r="J740" s="207">
        <v>202.29</v>
      </c>
      <c r="K740" s="229">
        <f t="shared" si="239"/>
        <v>-4.1352828238074846E-3</v>
      </c>
      <c r="L740" s="229">
        <f t="shared" si="240"/>
        <v>8.8927168003444912E-2</v>
      </c>
    </row>
    <row r="741" spans="1:12" x14ac:dyDescent="0.25">
      <c r="A741">
        <v>11</v>
      </c>
      <c r="B741" s="27">
        <v>46212</v>
      </c>
      <c r="C741" s="95">
        <v>1102497.3099999998</v>
      </c>
      <c r="D741" s="230">
        <v>0</v>
      </c>
      <c r="E741" s="95">
        <f t="shared" ref="E741" si="253">C741-D741</f>
        <v>1102497.3099999998</v>
      </c>
      <c r="F741" s="236">
        <v>68818.016949152545</v>
      </c>
      <c r="G741" s="95">
        <f t="shared" ref="G741" si="254">E741/F741</f>
        <v>16.020474853476237</v>
      </c>
      <c r="H741" s="65">
        <f t="shared" ref="H741" si="255">G741/G740-1</f>
        <v>1.0469331016986771E-2</v>
      </c>
      <c r="I741" s="72">
        <f t="shared" ref="I741" si="256">G741/$G$552-1</f>
        <v>0.38651064052906881</v>
      </c>
      <c r="J741" s="207">
        <v>203.73</v>
      </c>
      <c r="K741" s="229">
        <f t="shared" si="239"/>
        <v>7.1184932522616595E-3</v>
      </c>
      <c r="L741" s="229">
        <f t="shared" si="240"/>
        <v>9.6678688701081761E-2</v>
      </c>
    </row>
    <row r="742" spans="1:12" x14ac:dyDescent="0.25">
      <c r="A742">
        <v>12</v>
      </c>
      <c r="B742" s="27">
        <v>46213</v>
      </c>
      <c r="C742" s="95">
        <v>1101222.9299999997</v>
      </c>
      <c r="D742" s="230">
        <v>0</v>
      </c>
      <c r="E742" s="95">
        <f t="shared" ref="E742" si="257">C742-D742</f>
        <v>1101222.9299999997</v>
      </c>
      <c r="F742" s="236">
        <v>68818.016949152545</v>
      </c>
      <c r="G742" s="95">
        <f t="shared" ref="G742" si="258">E742/F742</f>
        <v>16.001956737777817</v>
      </c>
      <c r="H742" s="65">
        <f t="shared" ref="H742" si="259">G742/G741-1</f>
        <v>-1.1559030470561504E-3</v>
      </c>
      <c r="I742" s="72">
        <f t="shared" ref="I742" si="260">G742/$G$552-1</f>
        <v>0.38490796865490551</v>
      </c>
      <c r="J742" s="207">
        <v>204.63</v>
      </c>
      <c r="K742" s="229">
        <f t="shared" si="239"/>
        <v>4.4176115446914466E-3</v>
      </c>
      <c r="L742" s="229">
        <f t="shared" si="240"/>
        <v>0.10152338913710501</v>
      </c>
    </row>
    <row r="743" spans="1:12" x14ac:dyDescent="0.25">
      <c r="A743">
        <v>13</v>
      </c>
      <c r="B743" s="27">
        <v>46214</v>
      </c>
      <c r="C743" s="95">
        <v>1101222.9299999997</v>
      </c>
      <c r="D743" s="230">
        <v>0</v>
      </c>
      <c r="E743" s="95">
        <f t="shared" ref="E743:E744" si="261">C743-D743</f>
        <v>1101222.9299999997</v>
      </c>
      <c r="F743" s="236">
        <v>68818.016949152545</v>
      </c>
      <c r="G743" s="95">
        <f t="shared" ref="G743:G744" si="262">E743/F743</f>
        <v>16.001956737777817</v>
      </c>
      <c r="H743" s="65">
        <f t="shared" ref="H743:H744" si="263">G743/G742-1</f>
        <v>0</v>
      </c>
      <c r="I743" s="72">
        <f t="shared" ref="I743:I744" si="264">G743/$G$552-1</f>
        <v>0.38490796865490551</v>
      </c>
      <c r="J743" s="207">
        <v>204.63</v>
      </c>
      <c r="K743" s="229">
        <f t="shared" si="239"/>
        <v>0</v>
      </c>
      <c r="L743" s="229">
        <f t="shared" si="240"/>
        <v>0.10152338913710501</v>
      </c>
    </row>
    <row r="744" spans="1:12" x14ac:dyDescent="0.25">
      <c r="A744">
        <v>14</v>
      </c>
      <c r="B744" s="27">
        <v>46215</v>
      </c>
      <c r="C744" s="95">
        <v>1101222.9299999997</v>
      </c>
      <c r="D744" s="230">
        <v>0</v>
      </c>
      <c r="E744" s="95">
        <f t="shared" si="261"/>
        <v>1101222.9299999997</v>
      </c>
      <c r="F744" s="236">
        <v>68818.016949152545</v>
      </c>
      <c r="G744" s="95">
        <f t="shared" si="262"/>
        <v>16.001956737777817</v>
      </c>
      <c r="H744" s="65">
        <f t="shared" si="263"/>
        <v>0</v>
      </c>
      <c r="I744" s="72">
        <f t="shared" si="264"/>
        <v>0.38490796865490551</v>
      </c>
      <c r="J744" s="207">
        <v>204.63</v>
      </c>
      <c r="K744" s="229">
        <f t="shared" si="239"/>
        <v>0</v>
      </c>
      <c r="L744" s="229">
        <f t="shared" si="240"/>
        <v>0.10152338913710501</v>
      </c>
    </row>
    <row r="745" spans="1:12" x14ac:dyDescent="0.25">
      <c r="A745">
        <v>15</v>
      </c>
      <c r="B745" s="27">
        <v>46216</v>
      </c>
      <c r="C745" s="95">
        <v>1090805.5299999998</v>
      </c>
      <c r="D745" s="230">
        <v>0</v>
      </c>
      <c r="E745" s="95">
        <f t="shared" ref="E745" si="265">C745-D745</f>
        <v>1090805.5299999998</v>
      </c>
      <c r="F745" s="236">
        <v>68818.016949152545</v>
      </c>
      <c r="G745" s="95">
        <f t="shared" ref="G745" si="266">E745/F745</f>
        <v>15.850580681596238</v>
      </c>
      <c r="H745" s="65">
        <f t="shared" ref="H745" si="267">G745/G744-1</f>
        <v>-9.4598466088967603E-3</v>
      </c>
      <c r="I745" s="72">
        <f t="shared" ref="I745" si="268">G745/$G$552-1</f>
        <v>0.37180695170399147</v>
      </c>
      <c r="J745" s="207">
        <v>203.01</v>
      </c>
      <c r="K745" s="229">
        <f t="shared" si="239"/>
        <v>-7.9167277525289403E-3</v>
      </c>
      <c r="L745" s="229">
        <f t="shared" si="240"/>
        <v>9.2802928352263336E-2</v>
      </c>
    </row>
    <row r="746" spans="1:12" x14ac:dyDescent="0.25">
      <c r="A746">
        <v>16</v>
      </c>
      <c r="B746" s="27">
        <v>46217</v>
      </c>
      <c r="C746" s="95">
        <v>1096180.2599999998</v>
      </c>
      <c r="D746" s="230">
        <v>0</v>
      </c>
      <c r="E746" s="95">
        <f t="shared" ref="E746" si="269">C746-D746</f>
        <v>1096180.2599999998</v>
      </c>
      <c r="F746" s="236">
        <v>68818.016949152545</v>
      </c>
      <c r="G746" s="95">
        <f t="shared" ref="G746" si="270">E746/F746</f>
        <v>15.928681304634695</v>
      </c>
      <c r="H746" s="65">
        <f t="shared" ref="H746" si="271">G746/G745-1</f>
        <v>4.9273035863688364E-3</v>
      </c>
      <c r="I746" s="72">
        <f t="shared" ref="I746" si="272">G746/$G$552-1</f>
        <v>0.37856626101692803</v>
      </c>
      <c r="J746" s="207">
        <v>203.98</v>
      </c>
      <c r="K746" s="229">
        <f t="shared" si="239"/>
        <v>4.7780897492735175E-3</v>
      </c>
      <c r="L746" s="229">
        <f t="shared" si="240"/>
        <v>9.8024438822199356E-2</v>
      </c>
    </row>
    <row r="747" spans="1:12" x14ac:dyDescent="0.25">
      <c r="A747">
        <v>17</v>
      </c>
      <c r="B747" s="27">
        <v>46218</v>
      </c>
      <c r="C747" s="95">
        <v>1093546.0899999999</v>
      </c>
      <c r="D747" s="230">
        <v>0</v>
      </c>
      <c r="E747" s="95">
        <f t="shared" ref="E747" si="273">C747-D747</f>
        <v>1093546.0899999999</v>
      </c>
      <c r="F747" s="236">
        <v>68818.016949152545</v>
      </c>
      <c r="G747" s="95">
        <f t="shared" ref="G747" si="274">E747/F747</f>
        <v>15.890403973831249</v>
      </c>
      <c r="H747" s="65">
        <f t="shared" ref="H747" si="275">G747/G746-1</f>
        <v>-2.4030445503551157E-3</v>
      </c>
      <c r="I747" s="72">
        <f t="shared" ref="I747" si="276">G747/$G$552-1</f>
        <v>0.37525350487608788</v>
      </c>
      <c r="J747" s="207">
        <v>204.75</v>
      </c>
      <c r="K747" s="229">
        <f t="shared" si="239"/>
        <v>3.7748798901853231E-3</v>
      </c>
      <c r="L747" s="229">
        <f t="shared" si="240"/>
        <v>0.10216934919524134</v>
      </c>
    </row>
    <row r="748" spans="1:12" x14ac:dyDescent="0.25">
      <c r="A748">
        <v>18</v>
      </c>
      <c r="B748" s="27">
        <v>46219</v>
      </c>
      <c r="C748" s="95">
        <v>1082492.2699999998</v>
      </c>
      <c r="D748" s="230">
        <v>0</v>
      </c>
      <c r="E748" s="95">
        <f t="shared" ref="E748" si="277">C748-D748</f>
        <v>1082492.2699999998</v>
      </c>
      <c r="F748" s="236">
        <v>68818.016949152545</v>
      </c>
      <c r="G748" s="95">
        <f t="shared" ref="G748" si="278">E748/F748</f>
        <v>15.729780048730829</v>
      </c>
      <c r="H748" s="65">
        <f t="shared" ref="H748" si="279">G748/G747-1</f>
        <v>-1.0108234212606537E-2</v>
      </c>
      <c r="I748" s="72">
        <f t="shared" ref="I748" si="280">G748/$G$552-1</f>
        <v>0.36135212034709241</v>
      </c>
      <c r="J748" s="207">
        <v>203.58</v>
      </c>
      <c r="K748" s="229">
        <f t="shared" si="239"/>
        <v>-5.7142857142856718E-3</v>
      </c>
      <c r="L748" s="229">
        <f t="shared" si="240"/>
        <v>9.5871238628411515E-2</v>
      </c>
    </row>
    <row r="749" spans="1:12" x14ac:dyDescent="0.25">
      <c r="A749">
        <v>19</v>
      </c>
      <c r="B749" s="27">
        <v>46220</v>
      </c>
      <c r="C749" s="95">
        <v>1078332.6299999999</v>
      </c>
      <c r="D749" s="230">
        <v>0</v>
      </c>
      <c r="E749" s="95">
        <f t="shared" ref="E749:E751" si="281">C749-D749</f>
        <v>1078332.6299999999</v>
      </c>
      <c r="F749" s="236">
        <v>68818.016949152545</v>
      </c>
      <c r="G749" s="95">
        <f t="shared" ref="G749:G751" si="282">E749/F749</f>
        <v>15.669335993752126</v>
      </c>
      <c r="H749" s="65">
        <f t="shared" ref="H749:H751" si="283">G749/G748-1</f>
        <v>-3.8426509964822886E-3</v>
      </c>
      <c r="I749" s="72">
        <f t="shared" ref="I749:I751" si="284">G749/$G$552-1</f>
        <v>0.35612091926527745</v>
      </c>
      <c r="J749" s="207">
        <v>201.9</v>
      </c>
      <c r="K749" s="229">
        <f t="shared" si="239"/>
        <v>-8.2522841143530812E-3</v>
      </c>
      <c r="L749" s="229">
        <f t="shared" si="240"/>
        <v>8.6827797814501784E-2</v>
      </c>
    </row>
    <row r="750" spans="1:12" x14ac:dyDescent="0.25">
      <c r="A750">
        <v>20</v>
      </c>
      <c r="B750" s="27">
        <v>46221</v>
      </c>
      <c r="C750" s="95">
        <v>1078332.6299999999</v>
      </c>
      <c r="D750" s="230">
        <v>0</v>
      </c>
      <c r="E750" s="95">
        <f t="shared" si="281"/>
        <v>1078332.6299999999</v>
      </c>
      <c r="F750" s="236">
        <v>68818.016949152545</v>
      </c>
      <c r="G750" s="95">
        <f t="shared" si="282"/>
        <v>15.669335993752126</v>
      </c>
      <c r="H750" s="65">
        <f t="shared" si="283"/>
        <v>0</v>
      </c>
      <c r="I750" s="72">
        <f t="shared" si="284"/>
        <v>0.35612091926527745</v>
      </c>
      <c r="J750" s="207">
        <v>201.9</v>
      </c>
      <c r="K750" s="229">
        <f t="shared" si="239"/>
        <v>0</v>
      </c>
      <c r="L750" s="229">
        <f t="shared" si="240"/>
        <v>8.6827797814501784E-2</v>
      </c>
    </row>
    <row r="751" spans="1:12" x14ac:dyDescent="0.25">
      <c r="A751">
        <v>21</v>
      </c>
      <c r="B751" s="27">
        <v>46222</v>
      </c>
      <c r="C751" s="95">
        <v>1078332.6299999999</v>
      </c>
      <c r="D751" s="230">
        <v>0</v>
      </c>
      <c r="E751" s="95">
        <f t="shared" si="281"/>
        <v>1078332.6299999999</v>
      </c>
      <c r="F751" s="236">
        <v>68818.016949152501</v>
      </c>
      <c r="G751" s="95">
        <f t="shared" si="282"/>
        <v>15.669335993752137</v>
      </c>
      <c r="H751" s="65">
        <f t="shared" si="283"/>
        <v>0</v>
      </c>
      <c r="I751" s="72">
        <f t="shared" si="284"/>
        <v>0.35612091926527834</v>
      </c>
      <c r="J751" s="207">
        <v>201.9</v>
      </c>
      <c r="K751" s="229">
        <f t="shared" si="239"/>
        <v>0</v>
      </c>
      <c r="L751" s="229">
        <f t="shared" si="240"/>
        <v>8.6827797814501784E-2</v>
      </c>
    </row>
    <row r="752" spans="1:12" x14ac:dyDescent="0.25">
      <c r="A752">
        <v>22</v>
      </c>
      <c r="B752" s="27">
        <v>46223</v>
      </c>
      <c r="C752" s="95">
        <v>1076996.0199999998</v>
      </c>
      <c r="D752" s="230">
        <v>0</v>
      </c>
      <c r="E752" s="95">
        <f t="shared" ref="E752" si="285">C752-D752</f>
        <v>1076996.0199999998</v>
      </c>
      <c r="F752" s="236">
        <v>68818.016949152545</v>
      </c>
      <c r="G752" s="95">
        <f t="shared" ref="G752" si="286">E752/F752</f>
        <v>15.649913609044534</v>
      </c>
      <c r="H752" s="65">
        <f t="shared" ref="H752" si="287">G752/G751-1</f>
        <v>-1.2395154916167161E-3</v>
      </c>
      <c r="I752" s="72">
        <f t="shared" ref="I752" si="288">G752/$G$552-1</f>
        <v>0.35443998637734353</v>
      </c>
      <c r="J752" s="207">
        <v>201.1</v>
      </c>
      <c r="K752" s="229">
        <f t="shared" si="239"/>
        <v>-3.9623576027737473E-3</v>
      </c>
      <c r="L752" s="229">
        <f t="shared" si="240"/>
        <v>8.2521397426925658E-2</v>
      </c>
    </row>
    <row r="753" spans="1:12" x14ac:dyDescent="0.25">
      <c r="A753">
        <v>23</v>
      </c>
      <c r="B753" s="27">
        <v>46224</v>
      </c>
      <c r="C753" s="95">
        <v>1091704.48</v>
      </c>
      <c r="D753" s="230">
        <v>0</v>
      </c>
      <c r="E753" s="95">
        <f t="shared" ref="E753" si="289">C753-D753</f>
        <v>1091704.48</v>
      </c>
      <c r="F753" s="236">
        <v>68818.016949152545</v>
      </c>
      <c r="G753" s="95">
        <f t="shared" ref="G753" si="290">E753/F753</f>
        <v>15.863643394528875</v>
      </c>
      <c r="H753" s="65">
        <f t="shared" ref="H753" si="291">G753/G752-1</f>
        <v>1.3656930691350322E-2</v>
      </c>
      <c r="I753" s="72">
        <f t="shared" ref="I753" si="292">G753/$G$552-1</f>
        <v>0.37293747939689226</v>
      </c>
      <c r="J753" s="207">
        <v>203.13</v>
      </c>
      <c r="K753" s="229">
        <f t="shared" si="239"/>
        <v>1.0094480358030733E-2</v>
      </c>
      <c r="L753" s="229">
        <f t="shared" si="240"/>
        <v>9.3448888410399888E-2</v>
      </c>
    </row>
    <row r="754" spans="1:12" x14ac:dyDescent="0.25">
      <c r="A754">
        <v>24</v>
      </c>
      <c r="B754" s="27">
        <v>46225</v>
      </c>
      <c r="C754" s="95">
        <v>1089510.6399999997</v>
      </c>
      <c r="D754" s="230">
        <v>0</v>
      </c>
      <c r="E754" s="95">
        <f t="shared" ref="E754" si="293">C754-D754</f>
        <v>1089510.6399999997</v>
      </c>
      <c r="F754" s="236">
        <v>68818.016949152545</v>
      </c>
      <c r="G754" s="95">
        <f t="shared" ref="G754" si="294">E754/F754</f>
        <v>15.831764533479722</v>
      </c>
      <c r="H754" s="65">
        <f t="shared" ref="H754" si="295">G754/G753-1</f>
        <v>-2.0095548201838342E-3</v>
      </c>
      <c r="I754" s="72">
        <f t="shared" ref="I754" si="296">G754/$G$552-1</f>
        <v>0.37017848626735916</v>
      </c>
      <c r="J754" s="207">
        <v>203.1</v>
      </c>
      <c r="K754" s="229">
        <f t="shared" si="239"/>
        <v>-1.4768867227887839E-4</v>
      </c>
      <c r="L754" s="229">
        <f t="shared" si="240"/>
        <v>9.328739839586575E-2</v>
      </c>
    </row>
    <row r="755" spans="1:12" x14ac:dyDescent="0.25">
      <c r="A755">
        <v>25</v>
      </c>
      <c r="B755" s="27">
        <v>46226</v>
      </c>
      <c r="C755" s="95">
        <v>1081572.4599999997</v>
      </c>
      <c r="D755" s="230">
        <v>0</v>
      </c>
      <c r="E755" s="95">
        <f t="shared" ref="E755" si="297">C755-D755</f>
        <v>1081572.4599999997</v>
      </c>
      <c r="F755" s="236">
        <v>68818.016949152545</v>
      </c>
      <c r="G755" s="95">
        <f t="shared" ref="G755" si="298">E755/F755</f>
        <v>15.716414217502654</v>
      </c>
      <c r="H755" s="65">
        <f t="shared" ref="H755" si="299">G755/G754-1</f>
        <v>-7.2860050269908383E-3</v>
      </c>
      <c r="I755" s="72">
        <f t="shared" ref="I755" si="300">G755/$G$552-1</f>
        <v>0.36019535892854071</v>
      </c>
      <c r="J755" s="207">
        <v>200.61</v>
      </c>
      <c r="K755" s="229">
        <f t="shared" si="239"/>
        <v>-1.2259970457902392E-2</v>
      </c>
      <c r="L755" s="229">
        <f t="shared" si="240"/>
        <v>7.9883727189535403E-2</v>
      </c>
    </row>
    <row r="756" spans="1:12" x14ac:dyDescent="0.25">
      <c r="A756">
        <v>26</v>
      </c>
      <c r="B756" s="27">
        <v>46227</v>
      </c>
      <c r="C756" s="98">
        <v>1074455.51</v>
      </c>
      <c r="D756" s="230">
        <v>0</v>
      </c>
      <c r="E756" s="95">
        <f t="shared" ref="E756:E768" si="301">C756-D756</f>
        <v>1074455.51</v>
      </c>
      <c r="F756" s="236">
        <v>68819.016949152501</v>
      </c>
      <c r="G756" s="95">
        <f t="shared" ref="G756:G760" si="302">E756/F756</f>
        <v>15.612770388653914</v>
      </c>
      <c r="H756" s="65">
        <f t="shared" ref="H756:H760" si="303">G756/G755-1</f>
        <v>-6.5946231382294496E-3</v>
      </c>
      <c r="I756" s="72">
        <f t="shared" ref="I756:I760" si="304">G756/$G$552-1</f>
        <v>0.35122538314203822</v>
      </c>
      <c r="J756">
        <v>200.88</v>
      </c>
      <c r="K756" s="229">
        <f t="shared" si="239"/>
        <v>1.3458950201883368E-3</v>
      </c>
      <c r="L756" s="229">
        <f t="shared" si="240"/>
        <v>8.1337137320342201E-2</v>
      </c>
    </row>
    <row r="757" spans="1:12" x14ac:dyDescent="0.25">
      <c r="A757">
        <v>27</v>
      </c>
      <c r="B757" s="27">
        <v>46228</v>
      </c>
      <c r="C757" s="98">
        <v>1074455.51</v>
      </c>
      <c r="D757" s="230">
        <v>0</v>
      </c>
      <c r="E757" s="95">
        <f t="shared" si="301"/>
        <v>1074455.51</v>
      </c>
      <c r="F757" s="236">
        <v>68820.016949152501</v>
      </c>
      <c r="G757" s="95">
        <f t="shared" si="302"/>
        <v>15.61254352485642</v>
      </c>
      <c r="H757" s="65">
        <f t="shared" si="303"/>
        <v>-1.4530656113342921E-5</v>
      </c>
      <c r="I757" s="72">
        <f t="shared" si="304"/>
        <v>0.35120574895066414</v>
      </c>
      <c r="J757">
        <v>200.88</v>
      </c>
      <c r="K757" s="229">
        <f t="shared" si="239"/>
        <v>0</v>
      </c>
      <c r="L757" s="229">
        <f t="shared" si="240"/>
        <v>8.1337137320342201E-2</v>
      </c>
    </row>
    <row r="758" spans="1:12" x14ac:dyDescent="0.25">
      <c r="A758">
        <v>28</v>
      </c>
      <c r="B758" s="27">
        <v>46229</v>
      </c>
      <c r="C758" s="98">
        <v>1074455.51</v>
      </c>
      <c r="D758" s="230">
        <v>0</v>
      </c>
      <c r="E758" s="95">
        <f t="shared" si="301"/>
        <v>1074455.51</v>
      </c>
      <c r="F758" s="236">
        <v>68821.016949152501</v>
      </c>
      <c r="G758" s="95">
        <f t="shared" si="302"/>
        <v>15.612316667651791</v>
      </c>
      <c r="H758" s="65">
        <f t="shared" si="303"/>
        <v>-1.4530444976346146E-5</v>
      </c>
      <c r="I758" s="72">
        <f t="shared" si="304"/>
        <v>0.35118611532987742</v>
      </c>
      <c r="J758">
        <v>200.88</v>
      </c>
      <c r="K758" s="229">
        <f t="shared" si="239"/>
        <v>0</v>
      </c>
      <c r="L758" s="229">
        <f t="shared" si="240"/>
        <v>8.1337137320342201E-2</v>
      </c>
    </row>
    <row r="759" spans="1:12" x14ac:dyDescent="0.25">
      <c r="A759">
        <v>29</v>
      </c>
      <c r="B759" s="27">
        <v>46230</v>
      </c>
      <c r="C759" s="98">
        <v>1070937.3499999999</v>
      </c>
      <c r="D759" s="230">
        <v>0</v>
      </c>
      <c r="E759" s="95">
        <f t="shared" si="301"/>
        <v>1070937.3499999999</v>
      </c>
      <c r="F759" s="236">
        <v>68821.016949152501</v>
      </c>
      <c r="G759" s="95">
        <f t="shared" si="302"/>
        <v>15.561196237353595</v>
      </c>
      <c r="H759" s="65">
        <f t="shared" si="303"/>
        <v>-3.2743654504597819E-3</v>
      </c>
      <c r="I759" s="72">
        <f t="shared" si="304"/>
        <v>0.34676183819670037</v>
      </c>
      <c r="J759">
        <v>201.26</v>
      </c>
      <c r="K759" s="229">
        <f t="shared" si="239"/>
        <v>1.891676622859384E-3</v>
      </c>
      <c r="L759" s="229">
        <f t="shared" si="240"/>
        <v>8.3382677504440839E-2</v>
      </c>
    </row>
    <row r="760" spans="1:12" x14ac:dyDescent="0.25">
      <c r="A760">
        <v>30</v>
      </c>
      <c r="B760" s="27">
        <v>46231</v>
      </c>
      <c r="C760" s="98">
        <v>1062949.4299999997</v>
      </c>
      <c r="D760" s="230">
        <v>0</v>
      </c>
      <c r="E760" s="95">
        <f t="shared" si="301"/>
        <v>1062949.4299999997</v>
      </c>
      <c r="F760" s="236">
        <v>68821.016949152501</v>
      </c>
      <c r="G760" s="95">
        <f t="shared" si="302"/>
        <v>15.445128205317655</v>
      </c>
      <c r="H760" s="65">
        <f t="shared" si="303"/>
        <v>-7.4588116662475112E-3</v>
      </c>
      <c r="I760" s="72">
        <f t="shared" si="304"/>
        <v>0.33671659528630182</v>
      </c>
      <c r="J760">
        <v>201.8</v>
      </c>
      <c r="K760" s="229">
        <f t="shared" si="239"/>
        <v>2.6830964920998568E-3</v>
      </c>
      <c r="L760" s="229">
        <f t="shared" si="240"/>
        <v>8.6289497766054879E-2</v>
      </c>
    </row>
    <row r="761" spans="1:12" x14ac:dyDescent="0.25">
      <c r="A761">
        <v>31</v>
      </c>
      <c r="B761" s="27">
        <v>46232</v>
      </c>
      <c r="C761" s="98"/>
      <c r="E761" s="95"/>
      <c r="F761" s="236"/>
      <c r="G761" s="95"/>
    </row>
    <row r="762" spans="1:12" x14ac:dyDescent="0.25">
      <c r="A762">
        <v>32</v>
      </c>
      <c r="B762" s="27">
        <v>46233</v>
      </c>
      <c r="E762" s="95">
        <f t="shared" si="301"/>
        <v>0</v>
      </c>
    </row>
    <row r="763" spans="1:12" x14ac:dyDescent="0.25">
      <c r="A763">
        <v>33</v>
      </c>
      <c r="B763" s="27">
        <v>46234</v>
      </c>
      <c r="E763" s="95">
        <f t="shared" si="301"/>
        <v>0</v>
      </c>
    </row>
    <row r="764" spans="1:12" x14ac:dyDescent="0.25">
      <c r="A764">
        <v>34</v>
      </c>
      <c r="B764" s="27">
        <v>46235</v>
      </c>
      <c r="E764" s="95">
        <f t="shared" si="301"/>
        <v>0</v>
      </c>
    </row>
    <row r="765" spans="1:12" x14ac:dyDescent="0.25">
      <c r="A765">
        <v>35</v>
      </c>
      <c r="B765" s="27">
        <v>46236</v>
      </c>
      <c r="E765" s="95">
        <f t="shared" si="301"/>
        <v>0</v>
      </c>
    </row>
    <row r="766" spans="1:12" x14ac:dyDescent="0.25">
      <c r="A766">
        <v>36</v>
      </c>
      <c r="B766" s="27">
        <v>46237</v>
      </c>
      <c r="E766" s="95">
        <f t="shared" si="301"/>
        <v>0</v>
      </c>
    </row>
    <row r="767" spans="1:12" x14ac:dyDescent="0.25">
      <c r="A767">
        <v>37</v>
      </c>
      <c r="B767" s="27">
        <v>46238</v>
      </c>
      <c r="E767" s="95">
        <f t="shared" si="301"/>
        <v>0</v>
      </c>
    </row>
    <row r="768" spans="1:12" x14ac:dyDescent="0.25">
      <c r="A768">
        <v>38</v>
      </c>
      <c r="B768" s="27">
        <v>46239</v>
      </c>
      <c r="E768" s="95">
        <f t="shared" si="301"/>
        <v>0</v>
      </c>
    </row>
    <row r="769" spans="1:2" x14ac:dyDescent="0.25">
      <c r="A769">
        <v>39</v>
      </c>
      <c r="B769" s="27">
        <v>46240</v>
      </c>
    </row>
    <row r="770" spans="1:2" x14ac:dyDescent="0.25">
      <c r="A770">
        <v>40</v>
      </c>
      <c r="B770" s="27">
        <v>46241</v>
      </c>
    </row>
    <row r="771" spans="1:2" x14ac:dyDescent="0.25">
      <c r="A771">
        <v>41</v>
      </c>
      <c r="B771" s="27">
        <v>46242</v>
      </c>
    </row>
    <row r="772" spans="1:2" x14ac:dyDescent="0.25">
      <c r="A772">
        <v>42</v>
      </c>
      <c r="B772" s="27">
        <v>46243</v>
      </c>
    </row>
    <row r="773" spans="1:2" x14ac:dyDescent="0.25">
      <c r="A773">
        <v>43</v>
      </c>
      <c r="B773" s="27">
        <v>46244</v>
      </c>
    </row>
    <row r="774" spans="1:2" x14ac:dyDescent="0.25">
      <c r="A774">
        <v>44</v>
      </c>
      <c r="B774" s="27">
        <v>46245</v>
      </c>
    </row>
    <row r="775" spans="1:2" x14ac:dyDescent="0.25">
      <c r="A775">
        <v>45</v>
      </c>
      <c r="B775" s="27">
        <v>46246</v>
      </c>
    </row>
    <row r="776" spans="1:2" x14ac:dyDescent="0.25">
      <c r="A776">
        <v>46</v>
      </c>
      <c r="B776" s="27">
        <v>46247</v>
      </c>
    </row>
    <row r="777" spans="1:2" x14ac:dyDescent="0.25">
      <c r="A777">
        <v>47</v>
      </c>
      <c r="B777" s="27">
        <v>46248</v>
      </c>
    </row>
    <row r="778" spans="1:2" x14ac:dyDescent="0.25">
      <c r="A778">
        <v>48</v>
      </c>
      <c r="B778" s="27">
        <v>46249</v>
      </c>
    </row>
    <row r="779" spans="1:2" x14ac:dyDescent="0.25">
      <c r="A779">
        <v>49</v>
      </c>
      <c r="B779" s="27">
        <v>46250</v>
      </c>
    </row>
    <row r="780" spans="1:2" x14ac:dyDescent="0.25">
      <c r="A780">
        <v>50</v>
      </c>
      <c r="B780" s="27">
        <v>46251</v>
      </c>
    </row>
    <row r="781" spans="1:2" x14ac:dyDescent="0.25">
      <c r="A781">
        <v>51</v>
      </c>
      <c r="B781" s="27">
        <v>46252</v>
      </c>
    </row>
    <row r="782" spans="1:2" x14ac:dyDescent="0.25">
      <c r="A782">
        <v>52</v>
      </c>
      <c r="B782" s="27">
        <v>46253</v>
      </c>
    </row>
    <row r="783" spans="1:2" x14ac:dyDescent="0.25">
      <c r="A783">
        <v>53</v>
      </c>
      <c r="B783" s="27">
        <v>46254</v>
      </c>
    </row>
    <row r="784" spans="1:2" x14ac:dyDescent="0.25">
      <c r="A784">
        <v>54</v>
      </c>
      <c r="B784" s="27">
        <v>46255</v>
      </c>
    </row>
    <row r="785" spans="1:2" x14ac:dyDescent="0.25">
      <c r="A785">
        <v>55</v>
      </c>
      <c r="B785" s="27">
        <v>46256</v>
      </c>
    </row>
    <row r="786" spans="1:2" x14ac:dyDescent="0.25">
      <c r="A786">
        <v>56</v>
      </c>
      <c r="B786" s="27">
        <v>46257</v>
      </c>
    </row>
    <row r="787" spans="1:2" x14ac:dyDescent="0.25">
      <c r="A787">
        <v>57</v>
      </c>
      <c r="B787" s="27">
        <v>46258</v>
      </c>
    </row>
    <row r="788" spans="1:2" x14ac:dyDescent="0.25">
      <c r="A788">
        <v>58</v>
      </c>
      <c r="B788" s="27">
        <v>46259</v>
      </c>
    </row>
    <row r="789" spans="1:2" x14ac:dyDescent="0.25">
      <c r="A789">
        <v>59</v>
      </c>
      <c r="B789" s="27">
        <v>46260</v>
      </c>
    </row>
    <row r="790" spans="1:2" x14ac:dyDescent="0.25">
      <c r="A790">
        <v>60</v>
      </c>
      <c r="B790" s="27">
        <v>46261</v>
      </c>
    </row>
    <row r="791" spans="1:2" x14ac:dyDescent="0.25">
      <c r="A791">
        <v>61</v>
      </c>
      <c r="B791" s="27">
        <v>46262</v>
      </c>
    </row>
    <row r="792" spans="1:2" x14ac:dyDescent="0.25">
      <c r="A792">
        <v>62</v>
      </c>
      <c r="B792" s="27">
        <v>46263</v>
      </c>
    </row>
    <row r="793" spans="1:2" x14ac:dyDescent="0.25">
      <c r="A793">
        <v>63</v>
      </c>
      <c r="B793" s="27">
        <v>46264</v>
      </c>
    </row>
    <row r="794" spans="1:2" x14ac:dyDescent="0.25">
      <c r="A794">
        <v>64</v>
      </c>
      <c r="B794" s="27">
        <v>46265</v>
      </c>
    </row>
    <row r="795" spans="1:2" x14ac:dyDescent="0.25">
      <c r="A795">
        <v>65</v>
      </c>
      <c r="B795" s="27">
        <v>46266</v>
      </c>
    </row>
    <row r="796" spans="1:2" x14ac:dyDescent="0.25">
      <c r="A796">
        <v>66</v>
      </c>
      <c r="B796" s="27">
        <v>46267</v>
      </c>
    </row>
    <row r="797" spans="1:2" x14ac:dyDescent="0.25">
      <c r="A797">
        <v>67</v>
      </c>
      <c r="B797" s="27">
        <v>46268</v>
      </c>
    </row>
    <row r="798" spans="1:2" x14ac:dyDescent="0.25">
      <c r="A798">
        <v>68</v>
      </c>
      <c r="B798" s="27">
        <v>46269</v>
      </c>
    </row>
    <row r="799" spans="1:2" x14ac:dyDescent="0.25">
      <c r="A799">
        <v>69</v>
      </c>
      <c r="B799" s="27">
        <v>46270</v>
      </c>
    </row>
    <row r="800" spans="1:2" x14ac:dyDescent="0.25">
      <c r="A800">
        <v>70</v>
      </c>
      <c r="B800" s="27">
        <v>46271</v>
      </c>
    </row>
    <row r="801" spans="1:2" x14ac:dyDescent="0.25">
      <c r="A801">
        <v>71</v>
      </c>
      <c r="B801" s="27">
        <v>46272</v>
      </c>
    </row>
    <row r="802" spans="1:2" x14ac:dyDescent="0.25">
      <c r="A802">
        <v>72</v>
      </c>
      <c r="B802" s="27">
        <v>46273</v>
      </c>
    </row>
    <row r="803" spans="1:2" x14ac:dyDescent="0.25">
      <c r="A803">
        <v>73</v>
      </c>
      <c r="B803" s="27">
        <v>46274</v>
      </c>
    </row>
    <row r="804" spans="1:2" x14ac:dyDescent="0.25">
      <c r="A804">
        <v>74</v>
      </c>
      <c r="B804" s="27">
        <v>46275</v>
      </c>
    </row>
    <row r="805" spans="1:2" x14ac:dyDescent="0.25">
      <c r="A805">
        <v>75</v>
      </c>
      <c r="B805" s="27">
        <v>46276</v>
      </c>
    </row>
    <row r="806" spans="1:2" x14ac:dyDescent="0.25">
      <c r="A806">
        <v>76</v>
      </c>
      <c r="B806" s="27">
        <v>46277</v>
      </c>
    </row>
    <row r="807" spans="1:2" x14ac:dyDescent="0.25">
      <c r="A807">
        <v>77</v>
      </c>
      <c r="B807" s="27">
        <v>46278</v>
      </c>
    </row>
    <row r="808" spans="1:2" x14ac:dyDescent="0.25">
      <c r="A808">
        <v>78</v>
      </c>
      <c r="B808" s="27">
        <v>46279</v>
      </c>
    </row>
    <row r="809" spans="1:2" x14ac:dyDescent="0.25">
      <c r="A809">
        <v>79</v>
      </c>
      <c r="B809" s="27">
        <v>46280</v>
      </c>
    </row>
    <row r="810" spans="1:2" x14ac:dyDescent="0.25">
      <c r="A810">
        <v>80</v>
      </c>
      <c r="B810" s="27">
        <v>46281</v>
      </c>
    </row>
    <row r="811" spans="1:2" x14ac:dyDescent="0.25">
      <c r="A811">
        <v>81</v>
      </c>
      <c r="B811" s="27">
        <v>46282</v>
      </c>
    </row>
    <row r="812" spans="1:2" x14ac:dyDescent="0.25">
      <c r="A812">
        <v>82</v>
      </c>
      <c r="B812" s="27">
        <v>46283</v>
      </c>
    </row>
    <row r="813" spans="1:2" x14ac:dyDescent="0.25">
      <c r="A813">
        <v>83</v>
      </c>
      <c r="B813" s="27">
        <v>46284</v>
      </c>
    </row>
    <row r="814" spans="1:2" x14ac:dyDescent="0.25">
      <c r="A814">
        <v>84</v>
      </c>
      <c r="B814" s="27">
        <v>46285</v>
      </c>
    </row>
    <row r="815" spans="1:2" x14ac:dyDescent="0.25">
      <c r="A815">
        <v>85</v>
      </c>
      <c r="B815" s="27">
        <v>46286</v>
      </c>
    </row>
    <row r="816" spans="1:2" x14ac:dyDescent="0.25">
      <c r="A816">
        <v>86</v>
      </c>
      <c r="B816" s="27">
        <v>46287</v>
      </c>
    </row>
    <row r="817" spans="1:2" x14ac:dyDescent="0.25">
      <c r="A817">
        <v>87</v>
      </c>
      <c r="B817" s="27">
        <v>46288</v>
      </c>
    </row>
    <row r="818" spans="1:2" x14ac:dyDescent="0.25">
      <c r="A818">
        <v>88</v>
      </c>
      <c r="B818" s="27">
        <v>46289</v>
      </c>
    </row>
    <row r="819" spans="1:2" x14ac:dyDescent="0.25">
      <c r="A819">
        <v>89</v>
      </c>
      <c r="B819" s="27">
        <v>46290</v>
      </c>
    </row>
    <row r="820" spans="1:2" x14ac:dyDescent="0.25">
      <c r="A820">
        <v>90</v>
      </c>
      <c r="B820" s="27">
        <v>46291</v>
      </c>
    </row>
    <row r="821" spans="1:2" x14ac:dyDescent="0.25">
      <c r="A821">
        <v>91</v>
      </c>
      <c r="B821" s="27">
        <v>46292</v>
      </c>
    </row>
    <row r="822" spans="1:2" x14ac:dyDescent="0.25">
      <c r="A822">
        <v>92</v>
      </c>
      <c r="B822" s="27">
        <v>46293</v>
      </c>
    </row>
    <row r="823" spans="1:2" x14ac:dyDescent="0.25">
      <c r="A823">
        <v>93</v>
      </c>
      <c r="B823" s="27">
        <v>46294</v>
      </c>
    </row>
    <row r="824" spans="1:2" x14ac:dyDescent="0.25">
      <c r="A824">
        <v>94</v>
      </c>
      <c r="B824" s="27">
        <v>46295</v>
      </c>
    </row>
    <row r="825" spans="1:2" x14ac:dyDescent="0.25">
      <c r="A825">
        <v>95</v>
      </c>
      <c r="B825" s="27">
        <v>46296</v>
      </c>
    </row>
    <row r="826" spans="1:2" x14ac:dyDescent="0.25">
      <c r="A826">
        <v>96</v>
      </c>
      <c r="B826" s="27">
        <v>46297</v>
      </c>
    </row>
    <row r="827" spans="1:2" x14ac:dyDescent="0.25">
      <c r="A827">
        <v>97</v>
      </c>
      <c r="B827" s="27">
        <v>46298</v>
      </c>
    </row>
    <row r="828" spans="1:2" x14ac:dyDescent="0.25">
      <c r="A828">
        <v>98</v>
      </c>
      <c r="B828" s="27">
        <v>46299</v>
      </c>
    </row>
    <row r="829" spans="1:2" x14ac:dyDescent="0.25">
      <c r="A829">
        <v>99</v>
      </c>
      <c r="B829" s="27">
        <v>46300</v>
      </c>
    </row>
    <row r="830" spans="1:2" x14ac:dyDescent="0.25">
      <c r="A830">
        <v>100</v>
      </c>
      <c r="B830" s="27">
        <v>46301</v>
      </c>
    </row>
    <row r="831" spans="1:2" x14ac:dyDescent="0.25">
      <c r="A831">
        <v>101</v>
      </c>
      <c r="B831" s="27">
        <v>46302</v>
      </c>
    </row>
    <row r="832" spans="1:2" x14ac:dyDescent="0.25">
      <c r="A832">
        <v>102</v>
      </c>
      <c r="B832" s="27">
        <v>46303</v>
      </c>
    </row>
    <row r="833" spans="1:2" x14ac:dyDescent="0.25">
      <c r="A833">
        <v>103</v>
      </c>
      <c r="B833" s="27">
        <v>46304</v>
      </c>
    </row>
    <row r="834" spans="1:2" x14ac:dyDescent="0.25">
      <c r="A834">
        <v>104</v>
      </c>
      <c r="B834" s="27">
        <v>46305</v>
      </c>
    </row>
    <row r="835" spans="1:2" x14ac:dyDescent="0.25">
      <c r="A835">
        <v>105</v>
      </c>
      <c r="B835" s="27">
        <v>46306</v>
      </c>
    </row>
    <row r="836" spans="1:2" x14ac:dyDescent="0.25">
      <c r="A836">
        <v>106</v>
      </c>
      <c r="B836" s="27">
        <v>46307</v>
      </c>
    </row>
    <row r="837" spans="1:2" x14ac:dyDescent="0.25">
      <c r="A837">
        <v>107</v>
      </c>
      <c r="B837" s="27">
        <v>46308</v>
      </c>
    </row>
    <row r="838" spans="1:2" x14ac:dyDescent="0.25">
      <c r="A838">
        <v>108</v>
      </c>
      <c r="B838" s="27">
        <v>46309</v>
      </c>
    </row>
    <row r="839" spans="1:2" x14ac:dyDescent="0.25">
      <c r="A839">
        <v>109</v>
      </c>
      <c r="B839" s="27">
        <v>46310</v>
      </c>
    </row>
    <row r="840" spans="1:2" x14ac:dyDescent="0.25">
      <c r="A840">
        <v>110</v>
      </c>
      <c r="B840" s="27">
        <v>46311</v>
      </c>
    </row>
    <row r="841" spans="1:2" x14ac:dyDescent="0.25">
      <c r="A841">
        <v>111</v>
      </c>
      <c r="B841" s="27">
        <v>46312</v>
      </c>
    </row>
    <row r="842" spans="1:2" x14ac:dyDescent="0.25">
      <c r="A842">
        <v>112</v>
      </c>
      <c r="B842" s="27">
        <v>46313</v>
      </c>
    </row>
    <row r="843" spans="1:2" x14ac:dyDescent="0.25">
      <c r="A843">
        <v>113</v>
      </c>
      <c r="B843" s="27">
        <v>46314</v>
      </c>
    </row>
    <row r="844" spans="1:2" x14ac:dyDescent="0.25">
      <c r="A844">
        <v>114</v>
      </c>
      <c r="B844" s="27">
        <v>46315</v>
      </c>
    </row>
    <row r="845" spans="1:2" x14ac:dyDescent="0.25">
      <c r="A845">
        <v>115</v>
      </c>
      <c r="B845" s="27">
        <v>46316</v>
      </c>
    </row>
    <row r="846" spans="1:2" x14ac:dyDescent="0.25">
      <c r="A846">
        <v>116</v>
      </c>
      <c r="B846" s="27">
        <v>46317</v>
      </c>
    </row>
    <row r="847" spans="1:2" x14ac:dyDescent="0.25">
      <c r="A847">
        <v>117</v>
      </c>
      <c r="B847" s="27">
        <v>46318</v>
      </c>
    </row>
    <row r="848" spans="1:2" x14ac:dyDescent="0.25">
      <c r="A848">
        <v>118</v>
      </c>
      <c r="B848" s="27">
        <v>46319</v>
      </c>
    </row>
    <row r="849" spans="1:2" x14ac:dyDescent="0.25">
      <c r="A849">
        <v>119</v>
      </c>
      <c r="B849" s="27">
        <v>46320</v>
      </c>
    </row>
    <row r="850" spans="1:2" x14ac:dyDescent="0.25">
      <c r="A850">
        <v>120</v>
      </c>
      <c r="B850" s="27">
        <v>46321</v>
      </c>
    </row>
    <row r="851" spans="1:2" x14ac:dyDescent="0.25">
      <c r="A851">
        <v>121</v>
      </c>
      <c r="B851" s="27">
        <v>46322</v>
      </c>
    </row>
    <row r="852" spans="1:2" x14ac:dyDescent="0.25">
      <c r="A852">
        <v>122</v>
      </c>
      <c r="B852" s="27">
        <v>46323</v>
      </c>
    </row>
    <row r="853" spans="1:2" x14ac:dyDescent="0.25">
      <c r="A853">
        <v>123</v>
      </c>
      <c r="B853" s="27">
        <v>46324</v>
      </c>
    </row>
    <row r="854" spans="1:2" x14ac:dyDescent="0.25">
      <c r="A854">
        <v>124</v>
      </c>
      <c r="B854" s="27">
        <v>46325</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F941-12DF-454B-958D-AFBF70FB5338}">
  <dimension ref="A3:Q379"/>
  <sheetViews>
    <sheetView tabSelected="1" topLeftCell="A79" zoomScale="115" zoomScaleNormal="115" workbookViewId="0">
      <selection activeCell="B3" sqref="B3:F102"/>
    </sheetView>
  </sheetViews>
  <sheetFormatPr defaultColWidth="11.5703125" defaultRowHeight="15" customHeight="1" x14ac:dyDescent="0.2"/>
  <cols>
    <col min="1" max="1" width="11.5703125" style="120"/>
    <col min="2" max="2" width="11.42578125" style="120" bestFit="1" customWidth="1"/>
    <col min="3" max="3" width="70.28515625" style="120" bestFit="1" customWidth="1"/>
    <col min="4" max="5" width="11.28515625" style="120" bestFit="1" customWidth="1"/>
    <col min="6" max="6" width="18.28515625" style="120" bestFit="1" customWidth="1"/>
    <col min="7" max="7" width="9.5703125" style="120" bestFit="1" customWidth="1"/>
    <col min="8" max="8" width="11.5703125" style="120" bestFit="1" customWidth="1"/>
    <col min="9" max="9" width="11.5703125" style="120"/>
    <col min="10" max="11" width="10.42578125" style="120" bestFit="1" customWidth="1"/>
    <col min="12" max="13" width="15.5703125" style="120" bestFit="1" customWidth="1"/>
    <col min="14" max="14" width="16.28515625" style="120" bestFit="1" customWidth="1"/>
    <col min="15" max="15" width="15.28515625" style="120" bestFit="1" customWidth="1"/>
    <col min="16" max="16" width="18.28515625" style="120" bestFit="1" customWidth="1"/>
    <col min="17" max="17" width="11" style="120" bestFit="1" customWidth="1"/>
    <col min="18" max="18" width="37.7109375" style="120" bestFit="1" customWidth="1"/>
    <col min="19" max="16384" width="11.5703125" style="120"/>
  </cols>
  <sheetData>
    <row r="3" spans="2:12" ht="15" customHeight="1" x14ac:dyDescent="0.2">
      <c r="B3" s="116" t="s">
        <v>94</v>
      </c>
      <c r="C3" s="116" t="s">
        <v>95</v>
      </c>
      <c r="D3" s="116" t="s">
        <v>96</v>
      </c>
      <c r="E3" s="116" t="s">
        <v>97</v>
      </c>
      <c r="F3" s="116" t="s">
        <v>98</v>
      </c>
      <c r="J3" s="116" t="s">
        <v>99</v>
      </c>
      <c r="K3" s="116" t="s">
        <v>100</v>
      </c>
      <c r="L3" s="116" t="s">
        <v>101</v>
      </c>
    </row>
    <row r="4" spans="2:12" ht="15" customHeight="1" x14ac:dyDescent="0.25">
      <c r="B4" s="109">
        <v>46023</v>
      </c>
      <c r="C4" s="110" t="s">
        <v>102</v>
      </c>
      <c r="D4" s="111"/>
      <c r="E4" s="112">
        <v>91880.76</v>
      </c>
      <c r="F4" s="111">
        <f>E4</f>
        <v>91880.76</v>
      </c>
      <c r="J4" s="174" t="s">
        <v>74</v>
      </c>
      <c r="K4" s="117">
        <f>D359</f>
        <v>130</v>
      </c>
      <c r="L4" s="121">
        <f>E359</f>
        <v>297.94615384615383</v>
      </c>
    </row>
    <row r="5" spans="2:12" ht="15" customHeight="1" x14ac:dyDescent="0.25">
      <c r="B5" s="187">
        <v>46035</v>
      </c>
      <c r="C5" s="119" t="s">
        <v>103</v>
      </c>
      <c r="D5" s="213">
        <v>-18534.54</v>
      </c>
      <c r="E5" s="188"/>
      <c r="F5" s="113">
        <f t="shared" ref="F5:F36" si="0">F4+E5+D5</f>
        <v>73346.22</v>
      </c>
      <c r="J5" s="174" t="s">
        <v>104</v>
      </c>
      <c r="K5" s="117">
        <f>D284</f>
        <v>0</v>
      </c>
      <c r="L5" s="121">
        <f>E284</f>
        <v>0</v>
      </c>
    </row>
    <row r="6" spans="2:12" ht="15" customHeight="1" x14ac:dyDescent="0.25">
      <c r="B6" s="187" t="s">
        <v>105</v>
      </c>
      <c r="C6" s="119" t="s">
        <v>106</v>
      </c>
      <c r="D6" s="213">
        <v>-14555.72</v>
      </c>
      <c r="E6" s="188"/>
      <c r="F6" s="113">
        <f t="shared" si="0"/>
        <v>58790.5</v>
      </c>
      <c r="G6" s="122"/>
      <c r="J6" s="174" t="s">
        <v>55</v>
      </c>
      <c r="K6" s="117">
        <f>D126</f>
        <v>1440</v>
      </c>
      <c r="L6" s="121">
        <f>E126</f>
        <v>83.772201388888888</v>
      </c>
    </row>
    <row r="7" spans="2:12" ht="15" customHeight="1" x14ac:dyDescent="0.25">
      <c r="B7" s="109" t="s">
        <v>107</v>
      </c>
      <c r="C7" s="109" t="s">
        <v>108</v>
      </c>
      <c r="D7" s="113"/>
      <c r="E7" s="113">
        <v>19146.23</v>
      </c>
      <c r="F7" s="113">
        <f t="shared" si="0"/>
        <v>77936.73</v>
      </c>
      <c r="G7" s="123"/>
      <c r="J7" s="174" t="s">
        <v>109</v>
      </c>
      <c r="K7" s="117">
        <f>D132</f>
        <v>0</v>
      </c>
      <c r="L7" s="121">
        <f>E132</f>
        <v>0</v>
      </c>
    </row>
    <row r="8" spans="2:12" ht="15" customHeight="1" x14ac:dyDescent="0.25">
      <c r="B8" s="109" t="s">
        <v>107</v>
      </c>
      <c r="C8" s="109" t="s">
        <v>110</v>
      </c>
      <c r="D8" s="113"/>
      <c r="E8" s="113">
        <v>18737.8</v>
      </c>
      <c r="F8" s="113">
        <f t="shared" si="0"/>
        <v>96674.53</v>
      </c>
      <c r="J8" s="174" t="s">
        <v>57</v>
      </c>
      <c r="K8" s="117">
        <f>D136</f>
        <v>22</v>
      </c>
      <c r="L8" s="121">
        <f>E136</f>
        <v>406.20136363636362</v>
      </c>
    </row>
    <row r="9" spans="2:12" ht="15" customHeight="1" x14ac:dyDescent="0.25">
      <c r="B9" s="109" t="s">
        <v>107</v>
      </c>
      <c r="C9" s="109" t="s">
        <v>111</v>
      </c>
      <c r="D9" s="113">
        <v>-24758.39</v>
      </c>
      <c r="E9" s="113"/>
      <c r="F9" s="113">
        <f t="shared" si="0"/>
        <v>71916.14</v>
      </c>
      <c r="G9" s="124"/>
      <c r="J9" s="174" t="s">
        <v>77</v>
      </c>
      <c r="K9" s="117">
        <f>D379</f>
        <v>1200</v>
      </c>
      <c r="L9" s="121">
        <f>E379</f>
        <v>201.74955833333334</v>
      </c>
    </row>
    <row r="10" spans="2:12" ht="15" customHeight="1" x14ac:dyDescent="0.25">
      <c r="B10" s="109" t="s">
        <v>112</v>
      </c>
      <c r="C10" s="109" t="s">
        <v>113</v>
      </c>
      <c r="D10" s="113">
        <v>-25425.34</v>
      </c>
      <c r="E10" s="113"/>
      <c r="F10" s="113">
        <f t="shared" si="0"/>
        <v>46490.8</v>
      </c>
      <c r="H10" s="156"/>
      <c r="J10" s="174" t="s">
        <v>59</v>
      </c>
      <c r="K10" s="117">
        <f>D152</f>
        <v>169</v>
      </c>
      <c r="L10" s="121">
        <f>E152</f>
        <v>222.16467455621301</v>
      </c>
    </row>
    <row r="11" spans="2:12" ht="15" customHeight="1" x14ac:dyDescent="0.25">
      <c r="B11" s="109">
        <v>46050</v>
      </c>
      <c r="C11" s="109" t="s">
        <v>114</v>
      </c>
      <c r="D11" s="113">
        <v>-20209.87</v>
      </c>
      <c r="E11" s="113"/>
      <c r="F11" s="113">
        <f t="shared" si="0"/>
        <v>26280.930000000004</v>
      </c>
      <c r="J11" s="174" t="s">
        <v>61</v>
      </c>
      <c r="K11" s="117">
        <f>D156</f>
        <v>185</v>
      </c>
      <c r="L11" s="121">
        <f>E156</f>
        <v>162.20621621621623</v>
      </c>
    </row>
    <row r="12" spans="2:12" ht="15" customHeight="1" x14ac:dyDescent="0.25">
      <c r="B12" s="109">
        <v>46050</v>
      </c>
      <c r="C12" s="109" t="s">
        <v>115</v>
      </c>
      <c r="D12" s="113">
        <v>-25653.06</v>
      </c>
      <c r="E12" s="113"/>
      <c r="F12" s="113">
        <f t="shared" si="0"/>
        <v>627.87000000000262</v>
      </c>
      <c r="J12" s="174" t="s">
        <v>116</v>
      </c>
      <c r="K12" s="117">
        <f>D369</f>
        <v>0</v>
      </c>
      <c r="L12" s="121">
        <f>G369</f>
        <v>0</v>
      </c>
    </row>
    <row r="13" spans="2:12" ht="15" customHeight="1" x14ac:dyDescent="0.25">
      <c r="B13" s="109">
        <v>46056</v>
      </c>
      <c r="C13" s="109" t="s">
        <v>117</v>
      </c>
      <c r="D13" s="113"/>
      <c r="E13" s="186">
        <v>350000</v>
      </c>
      <c r="F13" s="113">
        <f t="shared" si="0"/>
        <v>350627.87</v>
      </c>
      <c r="J13" s="174" t="s">
        <v>78</v>
      </c>
      <c r="K13" s="117">
        <f>D342</f>
        <v>600</v>
      </c>
      <c r="L13" s="121">
        <f>E342</f>
        <v>70.856433333333328</v>
      </c>
    </row>
    <row r="14" spans="2:12" ht="15" customHeight="1" x14ac:dyDescent="0.25">
      <c r="B14" s="109">
        <v>46056</v>
      </c>
      <c r="C14" s="109" t="s">
        <v>118</v>
      </c>
      <c r="D14" s="113">
        <v>-19940</v>
      </c>
      <c r="E14" s="113"/>
      <c r="F14" s="113">
        <f t="shared" si="0"/>
        <v>330687.87</v>
      </c>
      <c r="J14" s="174" t="s">
        <v>66</v>
      </c>
      <c r="K14" s="117">
        <f>D182</f>
        <v>190</v>
      </c>
      <c r="L14" s="121">
        <f>E182</f>
        <v>55.159947368421051</v>
      </c>
    </row>
    <row r="15" spans="2:12" ht="15" customHeight="1" x14ac:dyDescent="0.25">
      <c r="B15" s="109">
        <v>46056</v>
      </c>
      <c r="C15" s="109" t="s">
        <v>119</v>
      </c>
      <c r="D15" s="113">
        <v>-14872</v>
      </c>
      <c r="E15" s="113"/>
      <c r="F15" s="113">
        <f t="shared" si="0"/>
        <v>315815.87</v>
      </c>
      <c r="J15" s="174" t="s">
        <v>70</v>
      </c>
      <c r="K15" s="117">
        <f>D272</f>
        <v>20</v>
      </c>
      <c r="L15" s="121">
        <f>E272</f>
        <v>912</v>
      </c>
    </row>
    <row r="16" spans="2:12" ht="15" customHeight="1" x14ac:dyDescent="0.25">
      <c r="B16" s="109">
        <v>46056</v>
      </c>
      <c r="C16" s="109" t="s">
        <v>120</v>
      </c>
      <c r="D16" s="113">
        <v>-15055</v>
      </c>
      <c r="E16" s="113"/>
      <c r="F16" s="113">
        <f t="shared" si="0"/>
        <v>300760.87</v>
      </c>
      <c r="J16" s="174" t="s">
        <v>73</v>
      </c>
      <c r="K16" s="117">
        <f>240</f>
        <v>240</v>
      </c>
      <c r="L16" s="121">
        <f>E354</f>
        <v>101.66666666666667</v>
      </c>
    </row>
    <row r="17" spans="2:13" ht="15" customHeight="1" x14ac:dyDescent="0.25">
      <c r="B17" s="109">
        <v>46056</v>
      </c>
      <c r="C17" s="119" t="s">
        <v>121</v>
      </c>
      <c r="D17" s="213">
        <v>-14972</v>
      </c>
      <c r="E17" s="188"/>
      <c r="F17" s="113">
        <f t="shared" si="0"/>
        <v>285788.87</v>
      </c>
      <c r="J17" s="174" t="s">
        <v>63</v>
      </c>
      <c r="K17" s="117">
        <f>D147</f>
        <v>84</v>
      </c>
      <c r="L17" s="121">
        <f>E147</f>
        <v>139.89130952380955</v>
      </c>
    </row>
    <row r="18" spans="2:13" ht="15" customHeight="1" x14ac:dyDescent="0.25">
      <c r="B18" s="109">
        <v>46056</v>
      </c>
      <c r="C18" s="109" t="s">
        <v>122</v>
      </c>
      <c r="D18" s="113">
        <v>-24664.2</v>
      </c>
      <c r="E18" s="113"/>
      <c r="F18" s="113">
        <f t="shared" si="0"/>
        <v>261124.66999999998</v>
      </c>
      <c r="J18" s="174" t="s">
        <v>123</v>
      </c>
      <c r="K18" s="117">
        <f>D244</f>
        <v>0</v>
      </c>
      <c r="L18" s="121">
        <f>E244</f>
        <v>0</v>
      </c>
    </row>
    <row r="19" spans="2:13" ht="15" customHeight="1" x14ac:dyDescent="0.25">
      <c r="B19" s="109">
        <v>46057</v>
      </c>
      <c r="C19" s="109" t="s">
        <v>124</v>
      </c>
      <c r="D19" s="113">
        <v>-10023</v>
      </c>
      <c r="E19" s="113"/>
      <c r="F19" s="113">
        <f t="shared" si="0"/>
        <v>251101.66999999998</v>
      </c>
      <c r="J19" s="174" t="s">
        <v>68</v>
      </c>
      <c r="K19" s="117">
        <f>D229</f>
        <v>36</v>
      </c>
      <c r="L19" s="121">
        <f>E229</f>
        <v>280.42527777777775</v>
      </c>
    </row>
    <row r="20" spans="2:13" ht="15" customHeight="1" x14ac:dyDescent="0.25">
      <c r="B20" s="109">
        <v>46057</v>
      </c>
      <c r="C20" s="119" t="s">
        <v>125</v>
      </c>
      <c r="D20" s="113">
        <v>-15310</v>
      </c>
      <c r="E20" s="113"/>
      <c r="F20" s="113">
        <f t="shared" si="0"/>
        <v>235791.66999999998</v>
      </c>
      <c r="J20" s="174" t="s">
        <v>126</v>
      </c>
      <c r="K20" s="117">
        <f>D259</f>
        <v>0</v>
      </c>
      <c r="L20" s="121">
        <f>E259</f>
        <v>0</v>
      </c>
    </row>
    <row r="21" spans="2:13" ht="15" customHeight="1" x14ac:dyDescent="0.25">
      <c r="B21" s="109">
        <v>46057</v>
      </c>
      <c r="C21" s="109" t="s">
        <v>127</v>
      </c>
      <c r="D21" s="113">
        <v>-30280.76</v>
      </c>
      <c r="E21" s="186"/>
      <c r="F21" s="113">
        <f t="shared" si="0"/>
        <v>205510.90999999997</v>
      </c>
      <c r="J21" s="174" t="s">
        <v>128</v>
      </c>
      <c r="K21" s="117">
        <f>D265</f>
        <v>0</v>
      </c>
      <c r="L21" s="121">
        <f>E265</f>
        <v>0</v>
      </c>
    </row>
    <row r="22" spans="2:13" ht="15" customHeight="1" x14ac:dyDescent="0.25">
      <c r="B22" s="109">
        <v>46057</v>
      </c>
      <c r="C22" s="109" t="s">
        <v>129</v>
      </c>
      <c r="D22" s="113">
        <v>-29238.7</v>
      </c>
      <c r="E22" s="186"/>
      <c r="F22" s="113">
        <f t="shared" si="0"/>
        <v>176272.20999999996</v>
      </c>
      <c r="J22" s="174" t="s">
        <v>69</v>
      </c>
      <c r="K22" s="117">
        <f>D234</f>
        <v>70</v>
      </c>
      <c r="L22" s="121">
        <f>E234</f>
        <v>215.23828571428572</v>
      </c>
    </row>
    <row r="23" spans="2:13" ht="15" customHeight="1" x14ac:dyDescent="0.25">
      <c r="B23" s="109">
        <v>46057</v>
      </c>
      <c r="C23" s="109" t="s">
        <v>130</v>
      </c>
      <c r="D23" s="113">
        <v>-24370.19</v>
      </c>
      <c r="E23" s="186"/>
      <c r="F23" s="113">
        <f t="shared" si="0"/>
        <v>151902.01999999996</v>
      </c>
      <c r="J23" s="174" t="s">
        <v>76</v>
      </c>
      <c r="K23" s="117">
        <f>D374</f>
        <v>3500</v>
      </c>
      <c r="L23" s="121">
        <f>E374</f>
        <v>8.878971428571429</v>
      </c>
    </row>
    <row r="24" spans="2:13" ht="15" customHeight="1" x14ac:dyDescent="0.25">
      <c r="B24" s="109">
        <v>46059</v>
      </c>
      <c r="C24" s="109" t="s">
        <v>131</v>
      </c>
      <c r="D24" s="113">
        <v>-50167.85</v>
      </c>
      <c r="E24" s="113"/>
      <c r="F24" s="113">
        <f t="shared" si="0"/>
        <v>101734.16999999995</v>
      </c>
      <c r="J24" s="174" t="s">
        <v>132</v>
      </c>
      <c r="K24" s="117">
        <f>D255</f>
        <v>0</v>
      </c>
      <c r="L24" s="121">
        <f>E255</f>
        <v>0</v>
      </c>
      <c r="M24" s="125"/>
    </row>
    <row r="25" spans="2:13" ht="15" customHeight="1" x14ac:dyDescent="0.25">
      <c r="B25" s="109">
        <v>46059</v>
      </c>
      <c r="C25" s="109" t="s">
        <v>133</v>
      </c>
      <c r="D25" s="113">
        <v>-9960</v>
      </c>
      <c r="E25" s="113"/>
      <c r="F25" s="113">
        <f t="shared" si="0"/>
        <v>91774.169999999955</v>
      </c>
      <c r="J25" s="174" t="s">
        <v>75</v>
      </c>
      <c r="K25" s="117">
        <f>D349</f>
        <v>2430</v>
      </c>
      <c r="L25" s="121">
        <f>E349</f>
        <v>117.33281481481481</v>
      </c>
    </row>
    <row r="26" spans="2:13" ht="15" customHeight="1" x14ac:dyDescent="0.25">
      <c r="B26" s="109">
        <v>46059</v>
      </c>
      <c r="C26" s="109" t="s">
        <v>134</v>
      </c>
      <c r="D26" s="113">
        <v>-15087.8</v>
      </c>
      <c r="E26" s="113"/>
      <c r="F26" s="113">
        <f t="shared" si="0"/>
        <v>76686.369999999952</v>
      </c>
      <c r="G26" s="118"/>
      <c r="J26" s="174" t="s">
        <v>78</v>
      </c>
      <c r="K26" s="117">
        <f>D342</f>
        <v>600</v>
      </c>
      <c r="L26" s="121">
        <f>E342</f>
        <v>70.856433333333328</v>
      </c>
    </row>
    <row r="27" spans="2:13" ht="15" customHeight="1" x14ac:dyDescent="0.25">
      <c r="B27" s="109">
        <v>46064</v>
      </c>
      <c r="C27" s="109" t="s">
        <v>135</v>
      </c>
      <c r="D27" s="113">
        <v>-27237.72</v>
      </c>
      <c r="E27" s="113"/>
      <c r="F27" s="113">
        <f t="shared" si="0"/>
        <v>49448.649999999951</v>
      </c>
      <c r="J27" s="174" t="s">
        <v>72</v>
      </c>
      <c r="K27" s="117">
        <f>D336</f>
        <v>1110</v>
      </c>
      <c r="L27" s="121">
        <f>E336</f>
        <v>44.376576576576575</v>
      </c>
    </row>
    <row r="28" spans="2:13" ht="15" customHeight="1" x14ac:dyDescent="0.25">
      <c r="B28" s="109">
        <v>46079</v>
      </c>
      <c r="C28" s="109" t="s">
        <v>136</v>
      </c>
      <c r="D28" s="113"/>
      <c r="E28" s="113">
        <v>29474.62</v>
      </c>
      <c r="F28" s="113">
        <f t="shared" si="0"/>
        <v>78923.269999999946</v>
      </c>
      <c r="J28" s="174" t="s">
        <v>137</v>
      </c>
      <c r="K28" s="117">
        <f>D364</f>
        <v>0</v>
      </c>
      <c r="L28" s="121">
        <f>E364</f>
        <v>0</v>
      </c>
    </row>
    <row r="29" spans="2:13" ht="15" customHeight="1" x14ac:dyDescent="0.25">
      <c r="B29" s="109">
        <v>46087</v>
      </c>
      <c r="C29" s="109" t="s">
        <v>138</v>
      </c>
      <c r="D29" s="113">
        <v>-15181.46</v>
      </c>
      <c r="E29" s="113"/>
      <c r="F29" s="113">
        <f t="shared" si="0"/>
        <v>63741.809999999947</v>
      </c>
      <c r="H29" s="128"/>
      <c r="I29" s="129"/>
      <c r="J29" s="174" t="s">
        <v>139</v>
      </c>
      <c r="K29" s="117">
        <f>D331</f>
        <v>0</v>
      </c>
      <c r="L29" s="121">
        <f>E331</f>
        <v>0</v>
      </c>
    </row>
    <row r="30" spans="2:13" ht="15" customHeight="1" x14ac:dyDescent="0.25">
      <c r="B30" s="109">
        <v>46087</v>
      </c>
      <c r="C30" s="109" t="s">
        <v>140</v>
      </c>
      <c r="D30" s="113">
        <v>-14766.65</v>
      </c>
      <c r="E30" s="113"/>
      <c r="F30" s="113">
        <f t="shared" si="0"/>
        <v>48975.159999999945</v>
      </c>
      <c r="H30" s="126"/>
      <c r="I30" s="126"/>
      <c r="J30" s="174" t="s">
        <v>141</v>
      </c>
      <c r="K30" s="117">
        <f>D214</f>
        <v>0</v>
      </c>
      <c r="L30" s="121">
        <f>E214</f>
        <v>91.441212121212104</v>
      </c>
    </row>
    <row r="31" spans="2:13" ht="15" customHeight="1" x14ac:dyDescent="0.25">
      <c r="B31" s="109">
        <v>46093</v>
      </c>
      <c r="C31" s="109" t="s">
        <v>142</v>
      </c>
      <c r="D31" s="113"/>
      <c r="E31" s="113">
        <v>14752.98</v>
      </c>
      <c r="F31" s="113">
        <f t="shared" si="0"/>
        <v>63728.139999999941</v>
      </c>
      <c r="H31" s="127"/>
      <c r="I31" s="126"/>
      <c r="J31" s="174" t="s">
        <v>71</v>
      </c>
      <c r="K31" s="117">
        <f>D316</f>
        <v>37</v>
      </c>
      <c r="L31" s="121">
        <f>E316</f>
        <v>543.08108108108104</v>
      </c>
    </row>
    <row r="32" spans="2:13" ht="15" customHeight="1" x14ac:dyDescent="0.25">
      <c r="B32" s="109">
        <v>46093</v>
      </c>
      <c r="C32" s="109" t="s">
        <v>143</v>
      </c>
      <c r="D32" s="113">
        <v>-49550.03</v>
      </c>
      <c r="E32" s="113"/>
      <c r="F32" s="113">
        <f t="shared" si="0"/>
        <v>14178.109999999942</v>
      </c>
      <c r="H32" s="126"/>
      <c r="I32" s="126"/>
      <c r="J32" s="231"/>
      <c r="K32" s="232"/>
      <c r="L32" s="233"/>
    </row>
    <row r="33" spans="2:12" ht="15" customHeight="1" x14ac:dyDescent="0.2">
      <c r="B33" s="109">
        <v>46043</v>
      </c>
      <c r="C33" s="109" t="s">
        <v>144</v>
      </c>
      <c r="D33" s="113">
        <v>-17698.490000000002</v>
      </c>
      <c r="E33" s="113"/>
      <c r="F33" s="113">
        <f t="shared" si="0"/>
        <v>-3520.3800000000592</v>
      </c>
      <c r="H33" s="126"/>
      <c r="I33" s="126"/>
    </row>
    <row r="34" spans="2:12" ht="15" customHeight="1" x14ac:dyDescent="0.25">
      <c r="B34" s="109">
        <v>46099</v>
      </c>
      <c r="C34" s="109" t="s">
        <v>145</v>
      </c>
      <c r="D34" s="113"/>
      <c r="E34" s="113">
        <v>13737.26</v>
      </c>
      <c r="F34" s="113">
        <f t="shared" si="0"/>
        <v>10216.879999999941</v>
      </c>
      <c r="H34" s="127"/>
      <c r="I34" s="126"/>
      <c r="J34" s="231"/>
      <c r="K34" s="232"/>
      <c r="L34" s="233"/>
    </row>
    <row r="35" spans="2:12" ht="15" customHeight="1" x14ac:dyDescent="0.25">
      <c r="B35" s="109">
        <v>46104</v>
      </c>
      <c r="C35" s="109" t="s">
        <v>146</v>
      </c>
      <c r="D35" s="113"/>
      <c r="E35" s="113">
        <v>12274.59</v>
      </c>
      <c r="F35" s="113">
        <f t="shared" si="0"/>
        <v>22491.469999999943</v>
      </c>
      <c r="H35" s="127"/>
      <c r="I35" s="126"/>
      <c r="J35" s="231"/>
      <c r="K35" s="232"/>
      <c r="L35" s="233"/>
    </row>
    <row r="36" spans="2:12" ht="15" customHeight="1" x14ac:dyDescent="0.2">
      <c r="B36" s="109">
        <v>46024</v>
      </c>
      <c r="C36" s="120" t="s">
        <v>147</v>
      </c>
      <c r="D36" s="113"/>
      <c r="E36" s="113">
        <v>45.02</v>
      </c>
      <c r="F36" s="113">
        <f t="shared" si="0"/>
        <v>22536.489999999943</v>
      </c>
      <c r="H36" s="127"/>
      <c r="I36" s="126"/>
    </row>
    <row r="37" spans="2:12" ht="15" customHeight="1" x14ac:dyDescent="0.25">
      <c r="B37" s="109">
        <v>46028</v>
      </c>
      <c r="C37" s="109" t="s">
        <v>148</v>
      </c>
      <c r="D37" s="113"/>
      <c r="E37" s="113">
        <v>16.95</v>
      </c>
      <c r="F37" s="113">
        <f t="shared" ref="F37:F100" si="1">F36+E37+D37</f>
        <v>22553.439999999944</v>
      </c>
      <c r="H37" s="127"/>
      <c r="I37" s="130"/>
      <c r="J37" s="231"/>
      <c r="K37" s="232"/>
      <c r="L37" s="233"/>
    </row>
    <row r="38" spans="2:12" ht="15" customHeight="1" x14ac:dyDescent="0.25">
      <c r="B38" s="109">
        <v>46050</v>
      </c>
      <c r="C38" s="109" t="s">
        <v>149</v>
      </c>
      <c r="D38" s="113"/>
      <c r="E38" s="113">
        <v>37.799999999999997</v>
      </c>
      <c r="F38" s="113">
        <f t="shared" si="1"/>
        <v>22591.239999999943</v>
      </c>
      <c r="H38" s="127"/>
      <c r="I38" s="126"/>
      <c r="J38" s="231"/>
      <c r="K38" s="232"/>
      <c r="L38" s="233"/>
    </row>
    <row r="39" spans="2:12" ht="15" customHeight="1" x14ac:dyDescent="0.25">
      <c r="B39" s="109">
        <v>46071</v>
      </c>
      <c r="C39" s="109" t="s">
        <v>150</v>
      </c>
      <c r="D39" s="113"/>
      <c r="E39" s="113">
        <v>119.95</v>
      </c>
      <c r="F39" s="113">
        <f t="shared" si="1"/>
        <v>22711.189999999944</v>
      </c>
      <c r="H39" s="131"/>
      <c r="I39" s="126"/>
      <c r="J39" s="231"/>
      <c r="K39" s="232"/>
      <c r="L39" s="233"/>
    </row>
    <row r="40" spans="2:12" ht="15" customHeight="1" x14ac:dyDescent="0.25">
      <c r="B40" s="109">
        <v>46086</v>
      </c>
      <c r="C40" s="109" t="s">
        <v>151</v>
      </c>
      <c r="D40" s="113"/>
      <c r="E40" s="113">
        <v>209.05</v>
      </c>
      <c r="F40" s="113">
        <f t="shared" si="1"/>
        <v>22920.239999999943</v>
      </c>
      <c r="H40" s="127"/>
      <c r="I40" s="126"/>
      <c r="J40" s="231"/>
      <c r="K40" s="232"/>
      <c r="L40" s="233"/>
    </row>
    <row r="41" spans="2:12" ht="15" customHeight="1" x14ac:dyDescent="0.2">
      <c r="B41" s="109">
        <v>46094</v>
      </c>
      <c r="C41" s="120" t="s">
        <v>152</v>
      </c>
      <c r="D41" s="113"/>
      <c r="E41" s="113">
        <v>14.01</v>
      </c>
      <c r="F41" s="113">
        <f t="shared" si="1"/>
        <v>22934.249999999942</v>
      </c>
      <c r="H41" s="127"/>
      <c r="I41" s="126"/>
    </row>
    <row r="42" spans="2:12" ht="15" customHeight="1" x14ac:dyDescent="0.2">
      <c r="B42" s="109">
        <v>46098</v>
      </c>
      <c r="C42" s="109" t="s">
        <v>153</v>
      </c>
      <c r="D42" s="113"/>
      <c r="E42" s="113">
        <v>10</v>
      </c>
      <c r="F42" s="113">
        <f t="shared" si="1"/>
        <v>22944.249999999942</v>
      </c>
      <c r="H42" s="127"/>
      <c r="I42" s="126"/>
    </row>
    <row r="43" spans="2:12" ht="15" customHeight="1" x14ac:dyDescent="0.2">
      <c r="B43" s="109">
        <v>46107</v>
      </c>
      <c r="C43" s="109" t="s">
        <v>154</v>
      </c>
      <c r="D43" s="113"/>
      <c r="E43" s="113">
        <v>12.17</v>
      </c>
      <c r="F43" s="113">
        <f t="shared" si="1"/>
        <v>22956.41999999994</v>
      </c>
      <c r="H43" s="127"/>
      <c r="I43" s="126"/>
    </row>
    <row r="44" spans="2:12" ht="15" customHeight="1" x14ac:dyDescent="0.2">
      <c r="B44" s="109">
        <v>46108</v>
      </c>
      <c r="C44" s="109" t="s">
        <v>155</v>
      </c>
      <c r="D44" s="113"/>
      <c r="E44" s="113">
        <v>28.67</v>
      </c>
      <c r="F44" s="113">
        <f t="shared" si="1"/>
        <v>22985.089999999938</v>
      </c>
      <c r="H44" s="127"/>
      <c r="I44" s="126"/>
    </row>
    <row r="45" spans="2:12" ht="15" customHeight="1" x14ac:dyDescent="0.2">
      <c r="B45" s="109">
        <v>46111</v>
      </c>
      <c r="C45" s="109" t="s">
        <v>156</v>
      </c>
      <c r="D45" s="113"/>
      <c r="E45" s="113">
        <v>41.55</v>
      </c>
      <c r="F45" s="113">
        <f t="shared" si="1"/>
        <v>23026.639999999938</v>
      </c>
      <c r="H45" s="127"/>
      <c r="I45" s="126"/>
    </row>
    <row r="46" spans="2:12" ht="15" customHeight="1" x14ac:dyDescent="0.2">
      <c r="B46" s="223">
        <v>46134</v>
      </c>
      <c r="C46" s="120" t="s">
        <v>157</v>
      </c>
      <c r="D46" s="113"/>
      <c r="E46" s="113">
        <v>48296.99</v>
      </c>
      <c r="F46" s="113">
        <f t="shared" si="1"/>
        <v>71323.629999999932</v>
      </c>
      <c r="H46" s="127"/>
      <c r="I46" s="126"/>
    </row>
    <row r="47" spans="2:12" ht="15" customHeight="1" x14ac:dyDescent="0.2">
      <c r="B47" s="109">
        <v>46140</v>
      </c>
      <c r="C47" s="109" t="s">
        <v>158</v>
      </c>
      <c r="D47" s="113"/>
      <c r="E47" s="113">
        <v>13797.29</v>
      </c>
      <c r="F47" s="113">
        <f t="shared" si="1"/>
        <v>85120.919999999925</v>
      </c>
      <c r="G47" s="127"/>
      <c r="H47" s="127"/>
      <c r="I47" s="126"/>
    </row>
    <row r="48" spans="2:12" ht="15" customHeight="1" x14ac:dyDescent="0.2">
      <c r="B48" s="109">
        <v>46140</v>
      </c>
      <c r="C48" s="109" t="s">
        <v>159</v>
      </c>
      <c r="D48" s="113"/>
      <c r="E48" s="113">
        <v>18252.349999999999</v>
      </c>
      <c r="F48" s="113">
        <f t="shared" si="1"/>
        <v>103373.26999999993</v>
      </c>
      <c r="G48" s="127"/>
      <c r="H48" s="130">
        <f>176418-70000</f>
        <v>106418</v>
      </c>
    </row>
    <row r="49" spans="2:17" ht="15" customHeight="1" x14ac:dyDescent="0.2">
      <c r="B49" s="109">
        <v>46142</v>
      </c>
      <c r="C49" s="109" t="s">
        <v>160</v>
      </c>
      <c r="D49" s="113">
        <v>-27139.75</v>
      </c>
      <c r="E49" s="113"/>
      <c r="F49" s="113">
        <f t="shared" si="1"/>
        <v>76233.519999999931</v>
      </c>
      <c r="G49" s="127"/>
    </row>
    <row r="50" spans="2:17" ht="15" customHeight="1" x14ac:dyDescent="0.2">
      <c r="B50" s="240">
        <v>46142</v>
      </c>
      <c r="C50" s="109" t="s">
        <v>161</v>
      </c>
      <c r="D50" s="113"/>
      <c r="E50" s="113">
        <v>29706.3</v>
      </c>
      <c r="F50" s="113">
        <f t="shared" si="1"/>
        <v>105939.81999999993</v>
      </c>
    </row>
    <row r="51" spans="2:17" ht="15" customHeight="1" x14ac:dyDescent="0.2">
      <c r="B51" s="109">
        <v>46142</v>
      </c>
      <c r="C51" s="109" t="s">
        <v>162</v>
      </c>
      <c r="D51" s="113"/>
      <c r="E51" s="113">
        <v>37209.43</v>
      </c>
      <c r="F51" s="113">
        <f t="shared" si="1"/>
        <v>143149.24999999994</v>
      </c>
      <c r="G51" s="127"/>
      <c r="J51" s="133" t="s">
        <v>3</v>
      </c>
      <c r="K51" s="133" t="s">
        <v>163</v>
      </c>
      <c r="L51" s="134" t="s">
        <v>164</v>
      </c>
      <c r="M51" s="134" t="s">
        <v>165</v>
      </c>
      <c r="N51" s="134" t="s">
        <v>166</v>
      </c>
      <c r="O51" s="135" t="s">
        <v>167</v>
      </c>
      <c r="P51" s="134" t="s">
        <v>168</v>
      </c>
      <c r="Q51" s="136" t="s">
        <v>169</v>
      </c>
    </row>
    <row r="52" spans="2:17" ht="15" customHeight="1" x14ac:dyDescent="0.2">
      <c r="B52" s="109">
        <v>46142</v>
      </c>
      <c r="C52" s="109" t="s">
        <v>170</v>
      </c>
      <c r="D52" s="113"/>
      <c r="E52" s="113">
        <v>61631</v>
      </c>
      <c r="F52" s="113">
        <f t="shared" si="1"/>
        <v>204780.24999999994</v>
      </c>
      <c r="G52" s="126"/>
      <c r="J52" s="109" t="s">
        <v>107</v>
      </c>
      <c r="K52" s="119" t="s">
        <v>171</v>
      </c>
      <c r="L52" s="140">
        <v>232</v>
      </c>
      <c r="M52" s="140">
        <f>-F201</f>
        <v>19614.11</v>
      </c>
      <c r="N52" s="140">
        <f>E7</f>
        <v>19146.23</v>
      </c>
      <c r="O52" s="141">
        <f t="shared" ref="O52:O74" si="2">N52-M52</f>
        <v>-467.88000000000102</v>
      </c>
      <c r="P52" s="142">
        <f t="shared" ref="P52:P74" si="3">O52/M52</f>
        <v>-2.3854255941258666E-2</v>
      </c>
      <c r="Q52" s="119"/>
    </row>
    <row r="53" spans="2:17" ht="15" customHeight="1" x14ac:dyDescent="0.2">
      <c r="B53" s="109">
        <v>46142</v>
      </c>
      <c r="C53" s="109" t="s">
        <v>172</v>
      </c>
      <c r="D53" s="113"/>
      <c r="E53" s="113">
        <v>28575.360000000001</v>
      </c>
      <c r="F53" s="113">
        <f t="shared" si="1"/>
        <v>233355.60999999993</v>
      </c>
      <c r="J53" s="109" t="s">
        <v>107</v>
      </c>
      <c r="K53" s="119" t="s">
        <v>173</v>
      </c>
      <c r="L53" s="140">
        <v>160</v>
      </c>
      <c r="M53" s="140">
        <f>-F161</f>
        <v>19808.46</v>
      </c>
      <c r="N53" s="140">
        <f>E8</f>
        <v>18737.8</v>
      </c>
      <c r="O53" s="141">
        <f t="shared" si="2"/>
        <v>-1070.6599999999999</v>
      </c>
      <c r="P53" s="142">
        <f t="shared" si="3"/>
        <v>-5.4050643008088456E-2</v>
      </c>
      <c r="Q53" s="119"/>
    </row>
    <row r="54" spans="2:17" ht="15" customHeight="1" x14ac:dyDescent="0.2">
      <c r="B54" s="109">
        <v>46142</v>
      </c>
      <c r="C54" s="109" t="s">
        <v>174</v>
      </c>
      <c r="D54" s="113"/>
      <c r="E54" s="113">
        <v>19296.599999999999</v>
      </c>
      <c r="F54" s="113">
        <f t="shared" si="1"/>
        <v>252652.20999999993</v>
      </c>
      <c r="J54" s="109" t="s">
        <v>175</v>
      </c>
      <c r="K54" s="119" t="s">
        <v>176</v>
      </c>
      <c r="L54" s="140">
        <v>65</v>
      </c>
      <c r="M54" s="140">
        <f>-D22</f>
        <v>29238.7</v>
      </c>
      <c r="N54" s="140">
        <f>E28</f>
        <v>29474.62</v>
      </c>
      <c r="O54" s="141">
        <f t="shared" si="2"/>
        <v>235.91999999999825</v>
      </c>
      <c r="P54" s="142">
        <f t="shared" si="3"/>
        <v>8.0687581869234356E-3</v>
      </c>
      <c r="Q54" s="119"/>
    </row>
    <row r="55" spans="2:17" ht="15" customHeight="1" x14ac:dyDescent="0.2">
      <c r="B55" s="109">
        <v>46143</v>
      </c>
      <c r="C55" s="109" t="s">
        <v>177</v>
      </c>
      <c r="D55" s="113">
        <v>-34400</v>
      </c>
      <c r="E55" s="113"/>
      <c r="F55" s="113">
        <f t="shared" si="1"/>
        <v>218252.20999999993</v>
      </c>
      <c r="J55" s="109">
        <v>46093</v>
      </c>
      <c r="K55" s="145" t="s">
        <v>178</v>
      </c>
      <c r="L55" s="146">
        <v>324</v>
      </c>
      <c r="M55" s="146">
        <f>-SUM(F166:F169)</f>
        <v>32338.61</v>
      </c>
      <c r="N55" s="146">
        <f>E31</f>
        <v>14752.98</v>
      </c>
      <c r="O55" s="141">
        <f t="shared" si="2"/>
        <v>-17585.63</v>
      </c>
      <c r="P55" s="142">
        <f t="shared" si="3"/>
        <v>-0.54379671853552147</v>
      </c>
      <c r="Q55" s="119"/>
    </row>
    <row r="56" spans="2:17" ht="15" customHeight="1" x14ac:dyDescent="0.2">
      <c r="B56" s="109">
        <v>46143</v>
      </c>
      <c r="C56" s="109" t="s">
        <v>179</v>
      </c>
      <c r="D56" s="213">
        <v>-30940</v>
      </c>
      <c r="E56" s="213"/>
      <c r="F56" s="113">
        <f t="shared" si="1"/>
        <v>187312.20999999993</v>
      </c>
      <c r="J56" s="109">
        <v>46099</v>
      </c>
      <c r="K56" s="145" t="s">
        <v>180</v>
      </c>
      <c r="L56" s="146">
        <v>500</v>
      </c>
      <c r="M56" s="146">
        <f>-D33</f>
        <v>17698.490000000002</v>
      </c>
      <c r="N56" s="146">
        <f>E34</f>
        <v>13737.26</v>
      </c>
      <c r="O56" s="141">
        <f t="shared" si="2"/>
        <v>-3961.2300000000014</v>
      </c>
      <c r="P56" s="142">
        <f t="shared" si="3"/>
        <v>-0.22381739911144968</v>
      </c>
      <c r="Q56" s="119"/>
    </row>
    <row r="57" spans="2:17" ht="15" customHeight="1" x14ac:dyDescent="0.2">
      <c r="B57" s="109">
        <v>46143</v>
      </c>
      <c r="C57" s="109" t="s">
        <v>181</v>
      </c>
      <c r="D57" s="113">
        <v>-69985</v>
      </c>
      <c r="E57" s="213"/>
      <c r="F57" s="113">
        <f t="shared" si="1"/>
        <v>117327.20999999993</v>
      </c>
      <c r="G57" s="118"/>
      <c r="J57" s="109">
        <v>46104</v>
      </c>
      <c r="K57" s="145" t="s">
        <v>182</v>
      </c>
      <c r="L57" s="146">
        <v>103</v>
      </c>
      <c r="M57" s="146">
        <f>-F217</f>
        <v>9804.08</v>
      </c>
      <c r="N57" s="146">
        <f>E35</f>
        <v>12274.59</v>
      </c>
      <c r="O57" s="141">
        <f t="shared" si="2"/>
        <v>2470.5100000000002</v>
      </c>
      <c r="P57" s="142">
        <f t="shared" si="3"/>
        <v>0.25198794787476236</v>
      </c>
      <c r="Q57" s="119"/>
    </row>
    <row r="58" spans="2:17" ht="15" customHeight="1" x14ac:dyDescent="0.2">
      <c r="B58" s="109">
        <v>46147</v>
      </c>
      <c r="C58" s="109" t="s">
        <v>183</v>
      </c>
      <c r="D58" s="113"/>
      <c r="E58" s="213">
        <v>39229.15</v>
      </c>
      <c r="F58" s="113">
        <f t="shared" si="1"/>
        <v>156556.35999999993</v>
      </c>
      <c r="J58" s="109">
        <v>46134</v>
      </c>
      <c r="K58" s="145" t="s">
        <v>184</v>
      </c>
      <c r="L58" s="146">
        <v>850</v>
      </c>
      <c r="M58" s="146">
        <f>-F174</f>
        <v>50167.8</v>
      </c>
      <c r="N58" s="146">
        <f>E46</f>
        <v>48296.99</v>
      </c>
      <c r="O58" s="141">
        <f t="shared" si="2"/>
        <v>-1870.8100000000049</v>
      </c>
      <c r="P58" s="142">
        <f t="shared" si="3"/>
        <v>-3.7291051232065282E-2</v>
      </c>
      <c r="Q58" s="119"/>
    </row>
    <row r="59" spans="2:17" ht="15" customHeight="1" x14ac:dyDescent="0.2">
      <c r="B59" s="109">
        <v>46149</v>
      </c>
      <c r="C59" s="109" t="s">
        <v>185</v>
      </c>
      <c r="D59" s="113">
        <v>134493.24</v>
      </c>
      <c r="E59" s="214"/>
      <c r="F59" s="113">
        <f t="shared" si="1"/>
        <v>291049.59999999992</v>
      </c>
      <c r="J59" s="109">
        <v>46141</v>
      </c>
      <c r="K59" s="145" t="s">
        <v>186</v>
      </c>
      <c r="L59" s="146">
        <v>115</v>
      </c>
      <c r="M59" s="146">
        <f>-F248</f>
        <v>20142.16</v>
      </c>
      <c r="N59" s="146">
        <f>F249</f>
        <v>13797.29</v>
      </c>
      <c r="O59" s="141">
        <f t="shared" si="2"/>
        <v>-6344.869999999999</v>
      </c>
      <c r="P59" s="142">
        <f t="shared" si="3"/>
        <v>-0.31500444838090846</v>
      </c>
      <c r="Q59" s="119"/>
    </row>
    <row r="60" spans="2:17" ht="15" customHeight="1" x14ac:dyDescent="0.2">
      <c r="B60" s="109">
        <v>46149</v>
      </c>
      <c r="C60" s="109" t="s">
        <v>187</v>
      </c>
      <c r="D60" s="113">
        <v>49513.61</v>
      </c>
      <c r="E60" s="214"/>
      <c r="F60" s="113">
        <f t="shared" si="1"/>
        <v>340563.2099999999</v>
      </c>
      <c r="J60" s="109">
        <v>46141</v>
      </c>
      <c r="K60" s="145" t="s">
        <v>188</v>
      </c>
      <c r="L60" s="146">
        <v>290</v>
      </c>
      <c r="M60" s="146">
        <f>-F275</f>
        <v>20209.87</v>
      </c>
      <c r="N60" s="146">
        <f>F276</f>
        <v>18252.349999999999</v>
      </c>
      <c r="O60" s="141">
        <f t="shared" si="2"/>
        <v>-1957.5200000000004</v>
      </c>
      <c r="P60" s="142">
        <f t="shared" si="3"/>
        <v>-9.6859603748069664E-2</v>
      </c>
      <c r="Q60" s="119"/>
    </row>
    <row r="61" spans="2:17" ht="15" customHeight="1" x14ac:dyDescent="0.2">
      <c r="B61" s="109">
        <v>46149</v>
      </c>
      <c r="C61" s="109" t="s">
        <v>189</v>
      </c>
      <c r="D61" s="113">
        <v>43661.78</v>
      </c>
      <c r="E61" s="214"/>
      <c r="F61" s="113">
        <f t="shared" si="1"/>
        <v>384224.98999999987</v>
      </c>
      <c r="J61" s="109">
        <v>46142</v>
      </c>
      <c r="K61" s="147" t="s">
        <v>190</v>
      </c>
      <c r="L61" s="146">
        <v>8050</v>
      </c>
      <c r="M61" s="148">
        <f>-SUM(F297:F298)</f>
        <v>19983</v>
      </c>
      <c r="N61" s="148">
        <f>E50</f>
        <v>29706.3</v>
      </c>
      <c r="O61" s="141">
        <f t="shared" si="2"/>
        <v>9723.2999999999993</v>
      </c>
      <c r="P61" s="142">
        <f t="shared" si="3"/>
        <v>0.48657859180303253</v>
      </c>
      <c r="Q61" s="119"/>
    </row>
    <row r="62" spans="2:17" ht="15" customHeight="1" x14ac:dyDescent="0.2">
      <c r="B62" s="109">
        <v>46149</v>
      </c>
      <c r="C62" s="109" t="s">
        <v>191</v>
      </c>
      <c r="D62" s="113">
        <v>53336.68</v>
      </c>
      <c r="E62" s="113"/>
      <c r="F62" s="113">
        <f t="shared" si="1"/>
        <v>437561.66999999987</v>
      </c>
      <c r="J62" s="109">
        <v>46142</v>
      </c>
      <c r="K62" s="147" t="s">
        <v>192</v>
      </c>
      <c r="L62" s="146">
        <v>70</v>
      </c>
      <c r="M62" s="148">
        <f>-F292</f>
        <v>24664</v>
      </c>
      <c r="N62" s="148">
        <f>F293</f>
        <v>37209.43</v>
      </c>
      <c r="O62" s="141">
        <f t="shared" si="2"/>
        <v>12545.43</v>
      </c>
      <c r="P62" s="142">
        <f t="shared" si="3"/>
        <v>0.50865350308141422</v>
      </c>
      <c r="Q62" s="119"/>
    </row>
    <row r="63" spans="2:17" ht="15" customHeight="1" x14ac:dyDescent="0.2">
      <c r="B63" s="109">
        <v>46149</v>
      </c>
      <c r="C63" s="109" t="s">
        <v>193</v>
      </c>
      <c r="D63" s="113">
        <v>88004.69</v>
      </c>
      <c r="E63" s="214"/>
      <c r="F63" s="113">
        <f t="shared" si="1"/>
        <v>525566.35999999987</v>
      </c>
      <c r="G63" s="118"/>
      <c r="J63" s="139">
        <v>46142</v>
      </c>
      <c r="K63" s="139" t="s">
        <v>194</v>
      </c>
      <c r="L63" s="200">
        <v>230</v>
      </c>
      <c r="M63" s="201">
        <f>-SUM(F286:F287)</f>
        <v>35250</v>
      </c>
      <c r="N63" s="202">
        <f>F288</f>
        <v>61631</v>
      </c>
      <c r="O63" s="141">
        <f t="shared" si="2"/>
        <v>26381</v>
      </c>
      <c r="P63" s="142">
        <f t="shared" si="3"/>
        <v>0.74839716312056737</v>
      </c>
      <c r="Q63" s="203"/>
    </row>
    <row r="64" spans="2:17" ht="15" customHeight="1" x14ac:dyDescent="0.2">
      <c r="B64" s="109">
        <v>46149</v>
      </c>
      <c r="C64" s="109" t="s">
        <v>195</v>
      </c>
      <c r="D64" s="113"/>
      <c r="E64" s="113">
        <v>-24400</v>
      </c>
      <c r="F64" s="113">
        <f t="shared" si="1"/>
        <v>501166.35999999987</v>
      </c>
      <c r="J64" s="139">
        <v>46142</v>
      </c>
      <c r="K64" s="139" t="s">
        <v>128</v>
      </c>
      <c r="L64" s="200">
        <v>310</v>
      </c>
      <c r="M64" s="247">
        <f>-F262</f>
        <v>15055</v>
      </c>
      <c r="N64" s="149">
        <f>E53</f>
        <v>28575.360000000001</v>
      </c>
      <c r="O64" s="141">
        <f t="shared" si="2"/>
        <v>13520.36</v>
      </c>
      <c r="P64" s="142">
        <f t="shared" si="3"/>
        <v>0.89806443042178685</v>
      </c>
      <c r="Q64" s="119"/>
    </row>
    <row r="65" spans="2:17" ht="15" customHeight="1" x14ac:dyDescent="0.2">
      <c r="B65" s="109">
        <v>46150</v>
      </c>
      <c r="C65" s="109" t="s">
        <v>196</v>
      </c>
      <c r="D65" s="113"/>
      <c r="E65" s="113">
        <v>-18240</v>
      </c>
      <c r="F65" s="113">
        <f t="shared" si="1"/>
        <v>482926.35999999987</v>
      </c>
      <c r="J65" s="139">
        <v>46142</v>
      </c>
      <c r="K65" s="139" t="s">
        <v>104</v>
      </c>
      <c r="L65" s="200">
        <v>47</v>
      </c>
      <c r="M65" s="208">
        <f>-F281</f>
        <v>14872</v>
      </c>
      <c r="N65" s="149">
        <f>E54</f>
        <v>19296.599999999999</v>
      </c>
      <c r="O65" s="141">
        <f t="shared" si="2"/>
        <v>4424.5999999999985</v>
      </c>
      <c r="P65" s="142">
        <f t="shared" si="3"/>
        <v>0.29751210328133393</v>
      </c>
      <c r="Q65" s="119"/>
    </row>
    <row r="66" spans="2:17" ht="15" customHeight="1" x14ac:dyDescent="0.2">
      <c r="B66" s="109">
        <v>46150</v>
      </c>
      <c r="C66" s="109" t="s">
        <v>197</v>
      </c>
      <c r="D66" s="113"/>
      <c r="E66" s="113">
        <v>-20094</v>
      </c>
      <c r="F66" s="113">
        <f t="shared" si="1"/>
        <v>462832.35999999987</v>
      </c>
      <c r="J66" s="139">
        <v>46147</v>
      </c>
      <c r="K66" s="139" t="s">
        <v>78</v>
      </c>
      <c r="L66" s="212">
        <v>1000</v>
      </c>
      <c r="M66" s="189">
        <f>-D56</f>
        <v>30940</v>
      </c>
      <c r="N66" s="149">
        <f>E58</f>
        <v>39229.15</v>
      </c>
      <c r="O66" s="141">
        <f t="shared" si="2"/>
        <v>8289.1500000000015</v>
      </c>
      <c r="P66" s="142">
        <f t="shared" si="3"/>
        <v>0.26791047188106015</v>
      </c>
      <c r="Q66" s="119"/>
    </row>
    <row r="67" spans="2:17" ht="15" customHeight="1" x14ac:dyDescent="0.2">
      <c r="B67" s="109">
        <v>46150</v>
      </c>
      <c r="C67" s="109" t="s">
        <v>198</v>
      </c>
      <c r="D67" s="113"/>
      <c r="E67" s="113">
        <v>-14858</v>
      </c>
      <c r="F67" s="113">
        <f t="shared" si="1"/>
        <v>447974.35999999987</v>
      </c>
      <c r="J67" s="139">
        <v>46149</v>
      </c>
      <c r="K67" s="139" t="s">
        <v>199</v>
      </c>
      <c r="L67" s="296">
        <v>750</v>
      </c>
      <c r="M67" s="189">
        <f>-D32</f>
        <v>49550.03</v>
      </c>
      <c r="N67" s="149">
        <f>D59</f>
        <v>134493.24</v>
      </c>
      <c r="O67" s="141">
        <f>N67-M67</f>
        <v>84943.209999999992</v>
      </c>
      <c r="P67" s="142">
        <f>O67/M67</f>
        <v>1.7142917976033514</v>
      </c>
      <c r="Q67" s="119"/>
    </row>
    <row r="68" spans="2:17" ht="15" customHeight="1" x14ac:dyDescent="0.2">
      <c r="B68" s="109">
        <v>46153</v>
      </c>
      <c r="C68" s="114" t="s">
        <v>200</v>
      </c>
      <c r="D68" s="113">
        <v>69971.55</v>
      </c>
      <c r="E68" s="113"/>
      <c r="F68" s="113">
        <f t="shared" si="1"/>
        <v>517945.90999999986</v>
      </c>
      <c r="J68" s="139">
        <v>46149</v>
      </c>
      <c r="K68" s="139" t="s">
        <v>128</v>
      </c>
      <c r="L68" s="296">
        <v>450</v>
      </c>
      <c r="M68" s="189">
        <f>-F261</f>
        <v>24758.39</v>
      </c>
      <c r="N68" s="149">
        <f>D60</f>
        <v>49513.61</v>
      </c>
      <c r="O68" s="141">
        <f t="shared" si="2"/>
        <v>24755.22</v>
      </c>
      <c r="P68" s="142">
        <f t="shared" si="3"/>
        <v>0.9998719625953062</v>
      </c>
      <c r="Q68" s="119"/>
    </row>
    <row r="69" spans="2:17" ht="15" customHeight="1" x14ac:dyDescent="0.2">
      <c r="B69" s="109">
        <v>46153</v>
      </c>
      <c r="C69" s="119" t="s">
        <v>201</v>
      </c>
      <c r="D69" s="119"/>
      <c r="E69" s="213">
        <v>-29569</v>
      </c>
      <c r="F69" s="113">
        <f t="shared" si="1"/>
        <v>488376.90999999986</v>
      </c>
      <c r="J69" s="139">
        <v>46149</v>
      </c>
      <c r="K69" s="139" t="s">
        <v>202</v>
      </c>
      <c r="L69" s="296">
        <v>150</v>
      </c>
      <c r="M69" s="189">
        <f>-D21</f>
        <v>30280.76</v>
      </c>
      <c r="N69" s="149">
        <f>D61</f>
        <v>43661.78</v>
      </c>
      <c r="O69" s="141">
        <f t="shared" si="2"/>
        <v>13381.02</v>
      </c>
      <c r="P69" s="142">
        <f t="shared" si="3"/>
        <v>0.44189841998681673</v>
      </c>
      <c r="Q69" s="119"/>
    </row>
    <row r="70" spans="2:17" ht="15" customHeight="1" x14ac:dyDescent="0.2">
      <c r="B70" s="109">
        <v>46153</v>
      </c>
      <c r="C70" s="114" t="s">
        <v>203</v>
      </c>
      <c r="D70" s="113"/>
      <c r="E70" s="113">
        <v>-29545</v>
      </c>
      <c r="F70" s="113">
        <f t="shared" si="1"/>
        <v>458831.90999999986</v>
      </c>
      <c r="J70" s="139">
        <v>46149</v>
      </c>
      <c r="K70" s="139" t="s">
        <v>71</v>
      </c>
      <c r="L70" s="296">
        <v>95</v>
      </c>
      <c r="M70" s="189">
        <f>-D27</f>
        <v>27237.72</v>
      </c>
      <c r="N70" s="149">
        <f>D62</f>
        <v>53336.68</v>
      </c>
      <c r="O70" s="141">
        <f t="shared" si="2"/>
        <v>26098.959999999999</v>
      </c>
      <c r="P70" s="142">
        <f t="shared" si="3"/>
        <v>0.95819180166328155</v>
      </c>
      <c r="Q70" s="119"/>
    </row>
    <row r="71" spans="2:17" ht="15" customHeight="1" x14ac:dyDescent="0.2">
      <c r="B71" s="187">
        <v>46153</v>
      </c>
      <c r="C71" s="119" t="s">
        <v>204</v>
      </c>
      <c r="D71" s="119"/>
      <c r="E71" s="213">
        <v>-234505.77</v>
      </c>
      <c r="F71" s="113">
        <f t="shared" si="1"/>
        <v>224326.13999999987</v>
      </c>
      <c r="J71" s="215">
        <v>46149</v>
      </c>
      <c r="K71" s="215" t="s">
        <v>70</v>
      </c>
      <c r="L71" s="216">
        <v>97</v>
      </c>
      <c r="M71" s="217">
        <f>-SUM(F268:F269)</f>
        <v>40606.800000000003</v>
      </c>
      <c r="N71" s="218">
        <f>D63</f>
        <v>88004.69</v>
      </c>
      <c r="O71" s="219">
        <f t="shared" si="2"/>
        <v>47397.89</v>
      </c>
      <c r="P71" s="220">
        <f t="shared" si="3"/>
        <v>1.1672402159244264</v>
      </c>
      <c r="Q71" s="145"/>
    </row>
    <row r="72" spans="2:17" ht="15" customHeight="1" x14ac:dyDescent="0.2">
      <c r="B72" s="187">
        <v>46155</v>
      </c>
      <c r="C72" s="114" t="s">
        <v>205</v>
      </c>
      <c r="D72" s="113"/>
      <c r="E72" s="113">
        <v>-43852.65</v>
      </c>
      <c r="F72" s="113">
        <f t="shared" si="1"/>
        <v>180473.48999999987</v>
      </c>
      <c r="J72" s="187">
        <v>46153</v>
      </c>
      <c r="K72" s="119" t="s">
        <v>75</v>
      </c>
      <c r="L72" s="119">
        <v>600</v>
      </c>
      <c r="M72" s="189">
        <f>-D57</f>
        <v>69985</v>
      </c>
      <c r="N72" s="189">
        <f>D68</f>
        <v>69971.55</v>
      </c>
      <c r="O72" s="221">
        <f t="shared" si="2"/>
        <v>-13.44999999999709</v>
      </c>
      <c r="P72" s="142">
        <f t="shared" si="3"/>
        <v>-1.9218403943698062E-4</v>
      </c>
      <c r="Q72" s="119"/>
    </row>
    <row r="73" spans="2:17" ht="15" customHeight="1" x14ac:dyDescent="0.2">
      <c r="B73" s="187">
        <v>46155</v>
      </c>
      <c r="C73" s="119" t="s">
        <v>206</v>
      </c>
      <c r="D73" s="119"/>
      <c r="E73" s="213">
        <v>-9164</v>
      </c>
      <c r="F73" s="113">
        <f t="shared" si="1"/>
        <v>171309.48999999987</v>
      </c>
      <c r="J73" s="187">
        <v>46163</v>
      </c>
      <c r="K73" s="119" t="s">
        <v>141</v>
      </c>
      <c r="L73" s="119">
        <v>165</v>
      </c>
      <c r="M73" s="189">
        <f>-F212</f>
        <v>15087.8</v>
      </c>
      <c r="N73" s="189">
        <f>E77</f>
        <v>15839.47</v>
      </c>
      <c r="O73" s="221">
        <f t="shared" si="2"/>
        <v>751.67000000000007</v>
      </c>
      <c r="P73" s="142">
        <f t="shared" si="3"/>
        <v>4.9819721894510803E-2</v>
      </c>
      <c r="Q73" s="119"/>
    </row>
    <row r="74" spans="2:17" ht="15" customHeight="1" x14ac:dyDescent="0.2">
      <c r="B74" s="187">
        <v>46155</v>
      </c>
      <c r="C74" s="114" t="s">
        <v>207</v>
      </c>
      <c r="D74" s="113"/>
      <c r="E74" s="113">
        <v>-50612.97</v>
      </c>
      <c r="F74" s="113">
        <f t="shared" si="1"/>
        <v>120696.51999999987</v>
      </c>
      <c r="J74" s="187">
        <v>46164</v>
      </c>
      <c r="K74" s="119" t="s">
        <v>208</v>
      </c>
      <c r="L74" s="208">
        <v>78</v>
      </c>
      <c r="M74" s="189">
        <f>-SUM(F193:F195)</f>
        <v>53239.17</v>
      </c>
      <c r="N74" s="189">
        <f>E78</f>
        <v>46979.39</v>
      </c>
      <c r="O74" s="221">
        <f t="shared" si="2"/>
        <v>-6259.7799999999988</v>
      </c>
      <c r="P74" s="142">
        <f t="shared" si="3"/>
        <v>-0.11757846713237639</v>
      </c>
      <c r="Q74" s="119"/>
    </row>
    <row r="75" spans="2:17" ht="15" customHeight="1" x14ac:dyDescent="0.2">
      <c r="B75" s="187">
        <v>46155</v>
      </c>
      <c r="C75" s="114" t="s">
        <v>209</v>
      </c>
      <c r="D75" s="113"/>
      <c r="E75" s="113">
        <v>-31076.400000000001</v>
      </c>
      <c r="F75" s="113">
        <f t="shared" si="1"/>
        <v>89620.119999999879</v>
      </c>
      <c r="J75" s="187">
        <v>46196</v>
      </c>
      <c r="K75" s="119" t="s">
        <v>116</v>
      </c>
      <c r="L75" s="208">
        <v>600</v>
      </c>
      <c r="M75" s="189">
        <f>-F367</f>
        <v>43852.65</v>
      </c>
      <c r="N75" s="189">
        <f>F368</f>
        <v>55751.11</v>
      </c>
      <c r="O75" s="221">
        <f>N75-M75</f>
        <v>11898.46</v>
      </c>
      <c r="P75" s="142">
        <f>O75/M75</f>
        <v>0.27132818655200996</v>
      </c>
      <c r="Q75" s="119"/>
    </row>
    <row r="76" spans="2:17" ht="15" customHeight="1" x14ac:dyDescent="0.2">
      <c r="B76" s="187">
        <v>46155</v>
      </c>
      <c r="C76" s="114" t="s">
        <v>210</v>
      </c>
      <c r="D76" s="113"/>
      <c r="E76" s="113">
        <v>-42513.86</v>
      </c>
      <c r="F76" s="113">
        <f t="shared" si="1"/>
        <v>47106.259999999878</v>
      </c>
      <c r="J76" s="187">
        <v>46196</v>
      </c>
      <c r="K76" s="119" t="s">
        <v>132</v>
      </c>
      <c r="L76" s="119">
        <v>95</v>
      </c>
      <c r="M76" s="189">
        <f>-F253</f>
        <v>18534.54</v>
      </c>
      <c r="N76" s="189">
        <f>F254</f>
        <v>32377.83</v>
      </c>
      <c r="O76" s="221">
        <f t="shared" ref="O76:O82" si="4">N76-M76</f>
        <v>13843.29</v>
      </c>
      <c r="P76" s="142">
        <f t="shared" ref="P76:P82" si="5">O76/M76</f>
        <v>0.74689147936771028</v>
      </c>
      <c r="Q76" s="119"/>
    </row>
    <row r="77" spans="2:17" ht="15" customHeight="1" x14ac:dyDescent="0.2">
      <c r="B77" s="187">
        <v>46163</v>
      </c>
      <c r="C77" s="114" t="s">
        <v>211</v>
      </c>
      <c r="D77" s="113"/>
      <c r="E77" s="113">
        <v>15839.47</v>
      </c>
      <c r="F77" s="113">
        <f t="shared" si="1"/>
        <v>62945.72999999988</v>
      </c>
      <c r="J77" s="187">
        <v>46196</v>
      </c>
      <c r="K77" s="119" t="s">
        <v>126</v>
      </c>
      <c r="L77" s="208">
        <v>190</v>
      </c>
      <c r="M77" s="189">
        <f>-F257</f>
        <v>14555.72</v>
      </c>
      <c r="N77" s="189">
        <f>F258</f>
        <v>30296.67</v>
      </c>
      <c r="O77" s="221">
        <f t="shared" si="4"/>
        <v>15740.949999999999</v>
      </c>
      <c r="P77" s="142">
        <f t="shared" si="5"/>
        <v>1.0814270953274727</v>
      </c>
      <c r="Q77" s="119"/>
    </row>
    <row r="78" spans="2:17" ht="15" customHeight="1" x14ac:dyDescent="0.2">
      <c r="B78" s="187">
        <v>46164</v>
      </c>
      <c r="C78" s="114" t="s">
        <v>212</v>
      </c>
      <c r="D78" s="113"/>
      <c r="E78" s="113">
        <v>46979.39</v>
      </c>
      <c r="F78" s="113">
        <f t="shared" si="1"/>
        <v>109925.11999999988</v>
      </c>
      <c r="J78" s="187">
        <v>46196</v>
      </c>
      <c r="K78" s="119" t="s">
        <v>104</v>
      </c>
      <c r="L78" s="208">
        <v>75</v>
      </c>
      <c r="M78" s="189">
        <f>-F280</f>
        <v>25653.06</v>
      </c>
      <c r="N78" s="189">
        <f>F283</f>
        <v>28014.35</v>
      </c>
      <c r="O78" s="221">
        <f t="shared" si="4"/>
        <v>2361.2899999999972</v>
      </c>
      <c r="P78" s="142">
        <f t="shared" si="5"/>
        <v>9.204710861004485E-2</v>
      </c>
      <c r="Q78" s="119"/>
    </row>
    <row r="79" spans="2:17" ht="15" customHeight="1" x14ac:dyDescent="0.2">
      <c r="B79" s="311">
        <v>46196</v>
      </c>
      <c r="C79" s="114" t="s">
        <v>213</v>
      </c>
      <c r="D79" s="312">
        <v>55751.11</v>
      </c>
      <c r="E79" s="312"/>
      <c r="F79" s="113">
        <f t="shared" si="1"/>
        <v>165676.22999999986</v>
      </c>
      <c r="J79" s="187">
        <v>46197</v>
      </c>
      <c r="K79" s="119" t="s">
        <v>214</v>
      </c>
      <c r="L79" s="208">
        <v>1450</v>
      </c>
      <c r="M79" s="189">
        <f>-F329</f>
        <v>27139.75</v>
      </c>
      <c r="N79" s="189">
        <f>F330</f>
        <v>28382.79</v>
      </c>
      <c r="O79" s="221">
        <f>N79-M79</f>
        <v>1243.0400000000009</v>
      </c>
      <c r="P79" s="142">
        <f>O79/M79</f>
        <v>4.5801453587450178E-2</v>
      </c>
      <c r="Q79" s="119"/>
    </row>
    <row r="80" spans="2:17" ht="15" customHeight="1" x14ac:dyDescent="0.2">
      <c r="B80" s="311">
        <v>46196</v>
      </c>
      <c r="C80" s="119" t="s">
        <v>215</v>
      </c>
      <c r="D80" s="313">
        <v>32377.83</v>
      </c>
      <c r="E80" s="313"/>
      <c r="F80" s="113">
        <f t="shared" si="1"/>
        <v>198054.05999999988</v>
      </c>
      <c r="J80" s="187">
        <f>B131</f>
        <v>46202</v>
      </c>
      <c r="K80" s="119" t="s">
        <v>109</v>
      </c>
      <c r="L80" s="208">
        <f>-D131</f>
        <v>81</v>
      </c>
      <c r="M80" s="189">
        <f>-F130</f>
        <v>35809.96</v>
      </c>
      <c r="N80" s="189">
        <f>F131</f>
        <v>57478.07</v>
      </c>
      <c r="O80" s="221">
        <f t="shared" si="4"/>
        <v>21668.11</v>
      </c>
      <c r="P80" s="142">
        <f t="shared" si="5"/>
        <v>0.60508612687643326</v>
      </c>
      <c r="Q80" s="119"/>
    </row>
    <row r="81" spans="2:17" ht="15" customHeight="1" x14ac:dyDescent="0.2">
      <c r="B81" s="311">
        <v>46196</v>
      </c>
      <c r="C81" s="119" t="s">
        <v>216</v>
      </c>
      <c r="D81" s="313">
        <v>30296.67</v>
      </c>
      <c r="E81" s="313"/>
      <c r="F81" s="113">
        <f t="shared" si="1"/>
        <v>228350.72999999986</v>
      </c>
      <c r="J81" s="187">
        <f>B243</f>
        <v>46202</v>
      </c>
      <c r="K81" s="119" t="s">
        <v>123</v>
      </c>
      <c r="L81" s="208">
        <f>-D243</f>
        <v>68</v>
      </c>
      <c r="M81" s="189">
        <f>-F242</f>
        <v>12009.11</v>
      </c>
      <c r="N81" s="189">
        <f>F243</f>
        <v>23008.06</v>
      </c>
      <c r="O81" s="221">
        <f t="shared" si="4"/>
        <v>10998.95</v>
      </c>
      <c r="P81" s="142">
        <f t="shared" si="5"/>
        <v>0.91588385817100515</v>
      </c>
      <c r="Q81" s="119"/>
    </row>
    <row r="82" spans="2:17" ht="15" customHeight="1" x14ac:dyDescent="0.2">
      <c r="B82" s="311">
        <v>46196</v>
      </c>
      <c r="C82" s="119" t="s">
        <v>217</v>
      </c>
      <c r="D82" s="314">
        <v>28014.35</v>
      </c>
      <c r="E82" s="313"/>
      <c r="F82" s="113">
        <f t="shared" si="1"/>
        <v>256365.07999999987</v>
      </c>
      <c r="J82" s="187">
        <f>B146</f>
        <v>46202</v>
      </c>
      <c r="K82" s="119" t="s">
        <v>63</v>
      </c>
      <c r="L82" s="208">
        <f>-D146</f>
        <v>146</v>
      </c>
      <c r="M82" s="189">
        <f>-D146*((-SUM(F143:F145))/SUM(D143:D145))</f>
        <v>25326.423217391308</v>
      </c>
      <c r="N82" s="189">
        <f>F146</f>
        <v>28146.92</v>
      </c>
      <c r="O82" s="221">
        <f t="shared" si="4"/>
        <v>2820.4967826086904</v>
      </c>
      <c r="P82" s="142">
        <f t="shared" si="5"/>
        <v>0.11136577630401019</v>
      </c>
      <c r="Q82" s="119"/>
    </row>
    <row r="83" spans="2:17" ht="15" customHeight="1" x14ac:dyDescent="0.2">
      <c r="B83" s="187">
        <v>46197</v>
      </c>
      <c r="C83" s="114" t="s">
        <v>218</v>
      </c>
      <c r="D83" s="113">
        <v>28382.79</v>
      </c>
      <c r="E83" s="113"/>
      <c r="F83" s="113">
        <f t="shared" si="1"/>
        <v>284747.86999999988</v>
      </c>
      <c r="J83" s="187"/>
      <c r="K83" s="119"/>
      <c r="L83" s="208"/>
      <c r="M83" s="189"/>
      <c r="N83" s="189"/>
      <c r="O83" s="221"/>
      <c r="P83" s="142"/>
      <c r="Q83" s="119"/>
    </row>
    <row r="84" spans="2:17" ht="15" customHeight="1" x14ac:dyDescent="0.2">
      <c r="B84" s="187">
        <v>46199</v>
      </c>
      <c r="C84" s="114" t="s">
        <v>219</v>
      </c>
      <c r="D84" s="113">
        <v>35674.26</v>
      </c>
      <c r="E84" s="113"/>
      <c r="F84" s="113">
        <f t="shared" si="1"/>
        <v>320422.12999999989</v>
      </c>
      <c r="J84" s="187"/>
      <c r="K84" s="119"/>
      <c r="L84" s="208"/>
      <c r="M84" s="189"/>
      <c r="N84" s="189"/>
      <c r="O84" s="221"/>
      <c r="P84" s="142"/>
      <c r="Q84" s="119"/>
    </row>
    <row r="85" spans="2:17" ht="15" customHeight="1" x14ac:dyDescent="0.2">
      <c r="B85" s="187">
        <v>46202</v>
      </c>
      <c r="C85" s="114" t="s">
        <v>220</v>
      </c>
      <c r="D85" s="113">
        <v>57478.07</v>
      </c>
      <c r="E85" s="113"/>
      <c r="F85" s="113">
        <f t="shared" si="1"/>
        <v>377900.1999999999</v>
      </c>
      <c r="J85" s="187"/>
      <c r="K85" s="119"/>
      <c r="L85" s="208"/>
      <c r="M85" s="189"/>
      <c r="N85" s="189"/>
      <c r="O85" s="221"/>
      <c r="P85" s="142"/>
      <c r="Q85" s="119"/>
    </row>
    <row r="86" spans="2:17" ht="15" customHeight="1" x14ac:dyDescent="0.2">
      <c r="B86" s="187">
        <v>46202</v>
      </c>
      <c r="C86" s="114" t="s">
        <v>221</v>
      </c>
      <c r="D86" s="113">
        <v>23008.06</v>
      </c>
      <c r="E86" s="113"/>
      <c r="F86" s="113">
        <f t="shared" si="1"/>
        <v>400908.25999999989</v>
      </c>
      <c r="J86" s="187"/>
      <c r="K86" s="119"/>
      <c r="L86" s="208"/>
      <c r="M86" s="189"/>
      <c r="N86" s="189"/>
      <c r="O86" s="221"/>
      <c r="P86" s="142"/>
      <c r="Q86" s="119"/>
    </row>
    <row r="87" spans="2:17" ht="15" customHeight="1" x14ac:dyDescent="0.2">
      <c r="B87" s="187">
        <v>46202</v>
      </c>
      <c r="C87" s="114" t="s">
        <v>222</v>
      </c>
      <c r="D87" s="113">
        <v>28146.92</v>
      </c>
      <c r="E87" s="113"/>
      <c r="F87" s="113">
        <f t="shared" si="1"/>
        <v>429055.17999999988</v>
      </c>
      <c r="J87" s="187"/>
      <c r="K87" s="119"/>
      <c r="L87" s="208"/>
      <c r="M87" s="189"/>
      <c r="N87" s="189"/>
      <c r="O87" s="221"/>
      <c r="P87" s="142"/>
      <c r="Q87" s="119"/>
    </row>
    <row r="88" spans="2:17" ht="15" customHeight="1" x14ac:dyDescent="0.2">
      <c r="B88" s="187">
        <v>46113</v>
      </c>
      <c r="C88" s="114" t="s">
        <v>223</v>
      </c>
      <c r="D88" s="113"/>
      <c r="E88" s="113">
        <v>34.130000000000003</v>
      </c>
      <c r="F88" s="113">
        <f t="shared" si="1"/>
        <v>429089.30999999988</v>
      </c>
      <c r="J88" s="187"/>
      <c r="K88" s="119"/>
      <c r="L88" s="208"/>
      <c r="M88" s="189"/>
      <c r="N88" s="189"/>
      <c r="O88" s="221"/>
      <c r="P88" s="142"/>
      <c r="Q88" s="119"/>
    </row>
    <row r="89" spans="2:17" ht="15" customHeight="1" x14ac:dyDescent="0.2">
      <c r="B89" s="187">
        <v>46113</v>
      </c>
      <c r="C89" s="114" t="s">
        <v>224</v>
      </c>
      <c r="D89" s="113"/>
      <c r="E89" s="113">
        <v>60.3</v>
      </c>
      <c r="F89" s="113">
        <f t="shared" si="1"/>
        <v>429149.60999999987</v>
      </c>
      <c r="J89" s="187"/>
      <c r="K89" s="119"/>
      <c r="L89" s="208"/>
      <c r="M89" s="189"/>
      <c r="N89" s="189"/>
      <c r="O89" s="221"/>
      <c r="P89" s="142"/>
      <c r="Q89" s="119"/>
    </row>
    <row r="90" spans="2:17" ht="15" customHeight="1" x14ac:dyDescent="0.2">
      <c r="B90" s="187">
        <v>46113</v>
      </c>
      <c r="C90" s="114" t="s">
        <v>225</v>
      </c>
      <c r="D90" s="113"/>
      <c r="E90" s="113">
        <v>139.76</v>
      </c>
      <c r="F90" s="113">
        <f t="shared" si="1"/>
        <v>429289.36999999988</v>
      </c>
      <c r="J90" s="187"/>
      <c r="K90" s="119"/>
      <c r="L90" s="208"/>
      <c r="M90" s="189"/>
      <c r="N90" s="189"/>
      <c r="O90" s="221"/>
      <c r="P90" s="142"/>
      <c r="Q90" s="119"/>
    </row>
    <row r="91" spans="2:17" ht="15" customHeight="1" x14ac:dyDescent="0.2">
      <c r="B91" s="187">
        <v>46114</v>
      </c>
      <c r="C91" s="119" t="s">
        <v>226</v>
      </c>
      <c r="D91" s="119"/>
      <c r="E91" s="213">
        <v>1.02</v>
      </c>
      <c r="F91" s="113">
        <f t="shared" si="1"/>
        <v>429290.3899999999</v>
      </c>
      <c r="J91" s="187"/>
      <c r="K91" s="119"/>
      <c r="L91" s="208"/>
      <c r="M91" s="189"/>
      <c r="N91" s="189"/>
      <c r="O91" s="221"/>
      <c r="P91" s="142"/>
      <c r="Q91" s="119"/>
    </row>
    <row r="92" spans="2:17" ht="15" customHeight="1" thickBot="1" x14ac:dyDescent="0.25">
      <c r="B92" s="187">
        <v>46119</v>
      </c>
      <c r="C92" s="119" t="s">
        <v>227</v>
      </c>
      <c r="D92" s="119"/>
      <c r="E92" s="213">
        <v>250.2</v>
      </c>
      <c r="F92" s="113">
        <f t="shared" si="1"/>
        <v>429540.58999999991</v>
      </c>
    </row>
    <row r="93" spans="2:17" ht="15" customHeight="1" thickBot="1" x14ac:dyDescent="0.25">
      <c r="B93" s="187">
        <v>46119</v>
      </c>
      <c r="C93" s="114" t="s">
        <v>228</v>
      </c>
      <c r="D93" s="113"/>
      <c r="E93" s="113">
        <v>17.850000000000001</v>
      </c>
      <c r="F93" s="113">
        <f t="shared" si="1"/>
        <v>429558.43999999989</v>
      </c>
      <c r="K93" s="150" t="s">
        <v>37</v>
      </c>
      <c r="L93" s="151"/>
      <c r="M93" s="152">
        <f>SUM(M52:M91)</f>
        <v>873413.16321739159</v>
      </c>
      <c r="N93" s="152">
        <f>SUM(N52:N91)</f>
        <v>1189374.1600000001</v>
      </c>
      <c r="O93" s="153">
        <f>SUM(O52:O91)</f>
        <v>315960.99678260862</v>
      </c>
      <c r="P93" s="154">
        <f>O93/M93</f>
        <v>0.36175433356042319</v>
      </c>
    </row>
    <row r="94" spans="2:17" ht="15" customHeight="1" x14ac:dyDescent="0.2">
      <c r="B94" s="187">
        <v>46143</v>
      </c>
      <c r="C94" s="114" t="s">
        <v>229</v>
      </c>
      <c r="D94" s="113"/>
      <c r="E94" s="113">
        <v>37.799999999999997</v>
      </c>
      <c r="F94" s="113">
        <f t="shared" si="1"/>
        <v>429596.23999999987</v>
      </c>
    </row>
    <row r="95" spans="2:17" ht="15" customHeight="1" x14ac:dyDescent="0.2">
      <c r="B95" s="187">
        <v>46146</v>
      </c>
      <c r="C95" s="114" t="s">
        <v>230</v>
      </c>
      <c r="D95" s="113"/>
      <c r="E95" s="113">
        <v>149.21</v>
      </c>
      <c r="F95" s="113">
        <f t="shared" si="1"/>
        <v>429745.4499999999</v>
      </c>
    </row>
    <row r="96" spans="2:17" ht="15" customHeight="1" x14ac:dyDescent="0.2">
      <c r="B96" s="187">
        <v>46185</v>
      </c>
      <c r="C96" s="114" t="s">
        <v>231</v>
      </c>
      <c r="D96" s="113"/>
      <c r="E96" s="113">
        <v>14.01</v>
      </c>
      <c r="F96" s="113">
        <f t="shared" si="1"/>
        <v>429759.4599999999</v>
      </c>
    </row>
    <row r="97" spans="2:12" ht="15" customHeight="1" x14ac:dyDescent="0.2">
      <c r="B97" s="187">
        <v>46189</v>
      </c>
      <c r="C97" s="119" t="s">
        <v>232</v>
      </c>
      <c r="D97" s="119"/>
      <c r="E97" s="213">
        <v>10.47</v>
      </c>
      <c r="F97" s="113">
        <f t="shared" si="1"/>
        <v>429769.92999999988</v>
      </c>
    </row>
    <row r="98" spans="2:12" ht="15" customHeight="1" x14ac:dyDescent="0.2">
      <c r="B98" s="187">
        <v>46191</v>
      </c>
      <c r="C98" s="119" t="s">
        <v>233</v>
      </c>
      <c r="D98" s="119"/>
      <c r="E98" s="213">
        <v>319.86</v>
      </c>
      <c r="F98" s="113">
        <f t="shared" si="1"/>
        <v>430089.78999999986</v>
      </c>
      <c r="J98" s="155"/>
      <c r="K98" s="155"/>
      <c r="L98" s="155"/>
    </row>
    <row r="99" spans="2:12" s="155" customFormat="1" ht="15" customHeight="1" x14ac:dyDescent="0.2">
      <c r="B99" s="187">
        <v>46198</v>
      </c>
      <c r="C99" s="119" t="s">
        <v>234</v>
      </c>
      <c r="D99" s="226"/>
      <c r="E99" s="213">
        <v>147.85</v>
      </c>
      <c r="F99" s="113">
        <f t="shared" si="1"/>
        <v>430237.63999999984</v>
      </c>
      <c r="J99" s="120"/>
      <c r="K99" s="120"/>
      <c r="L99" s="120"/>
    </row>
    <row r="100" spans="2:12" ht="15" customHeight="1" x14ac:dyDescent="0.2">
      <c r="B100" s="187">
        <v>46202</v>
      </c>
      <c r="C100" s="114" t="s">
        <v>235</v>
      </c>
      <c r="D100" s="113"/>
      <c r="E100" s="214">
        <v>25.55</v>
      </c>
      <c r="F100" s="113">
        <f t="shared" si="1"/>
        <v>430263.18999999983</v>
      </c>
    </row>
    <row r="101" spans="2:12" ht="15" customHeight="1" x14ac:dyDescent="0.2">
      <c r="B101" s="187">
        <v>46227</v>
      </c>
      <c r="C101" s="114" t="s">
        <v>236</v>
      </c>
      <c r="D101" s="113">
        <v>-242099.47</v>
      </c>
      <c r="E101" s="214"/>
      <c r="F101" s="113">
        <f>F100+E101+D101</f>
        <v>188163.71999999983</v>
      </c>
    </row>
    <row r="102" spans="2:12" ht="15" customHeight="1" x14ac:dyDescent="0.2">
      <c r="B102" s="187">
        <v>46227</v>
      </c>
      <c r="C102" s="114" t="s">
        <v>237</v>
      </c>
      <c r="D102" s="113">
        <v>-97766.19</v>
      </c>
      <c r="E102" s="214"/>
      <c r="F102" s="113">
        <f>F101+E102+D102</f>
        <v>90397.529999999824</v>
      </c>
    </row>
    <row r="103" spans="2:12" ht="15" customHeight="1" x14ac:dyDescent="0.2">
      <c r="B103" s="187"/>
      <c r="E103" s="227"/>
      <c r="F103" s="113"/>
    </row>
    <row r="104" spans="2:12" ht="15" customHeight="1" x14ac:dyDescent="0.2">
      <c r="B104" s="187"/>
      <c r="C104" s="114"/>
      <c r="D104" s="113"/>
      <c r="E104" s="214"/>
      <c r="F104" s="113"/>
    </row>
    <row r="105" spans="2:12" ht="15" customHeight="1" x14ac:dyDescent="0.2">
      <c r="B105" s="187"/>
      <c r="C105" s="119"/>
      <c r="D105" s="119"/>
      <c r="E105" s="213"/>
      <c r="F105" s="113"/>
    </row>
    <row r="106" spans="2:12" ht="15" customHeight="1" x14ac:dyDescent="0.2">
      <c r="B106" s="187"/>
      <c r="C106" s="119"/>
      <c r="D106" s="119"/>
      <c r="E106" s="213"/>
      <c r="F106" s="113"/>
    </row>
    <row r="107" spans="2:12" ht="15" customHeight="1" x14ac:dyDescent="0.2">
      <c r="B107" s="187"/>
      <c r="C107" s="119"/>
      <c r="D107" s="119"/>
      <c r="E107" s="213"/>
      <c r="F107" s="113"/>
    </row>
    <row r="108" spans="2:12" ht="15" customHeight="1" x14ac:dyDescent="0.2">
      <c r="B108" s="187"/>
      <c r="C108" s="119"/>
      <c r="D108" s="119"/>
      <c r="E108" s="213"/>
      <c r="F108" s="113"/>
    </row>
    <row r="109" spans="2:12" ht="15" customHeight="1" x14ac:dyDescent="0.2">
      <c r="B109" s="187"/>
      <c r="C109" s="119"/>
      <c r="D109" s="119"/>
      <c r="E109" s="213"/>
      <c r="F109" s="113"/>
    </row>
    <row r="110" spans="2:12" ht="15" customHeight="1" x14ac:dyDescent="0.2">
      <c r="B110" s="187"/>
      <c r="C110" s="119"/>
      <c r="D110" s="119"/>
      <c r="E110" s="213"/>
      <c r="F110" s="113"/>
    </row>
    <row r="111" spans="2:12" ht="15" customHeight="1" x14ac:dyDescent="0.2">
      <c r="B111" s="187"/>
      <c r="C111" s="119"/>
      <c r="D111" s="119"/>
      <c r="E111" s="213"/>
      <c r="F111" s="113"/>
    </row>
    <row r="112" spans="2:12" ht="15" customHeight="1" x14ac:dyDescent="0.2">
      <c r="B112" s="187"/>
      <c r="C112" s="119"/>
      <c r="D112" s="213"/>
      <c r="E112" s="213"/>
      <c r="F112" s="113"/>
    </row>
    <row r="113" spans="2:7" ht="15" customHeight="1" x14ac:dyDescent="0.2">
      <c r="B113" s="109"/>
      <c r="C113" s="115"/>
      <c r="D113" s="113"/>
      <c r="E113" s="113"/>
      <c r="F113" s="113"/>
    </row>
    <row r="114" spans="2:7" ht="15" customHeight="1" x14ac:dyDescent="0.2">
      <c r="B114" s="109"/>
      <c r="C114" s="115"/>
      <c r="D114" s="113"/>
      <c r="E114" s="113"/>
      <c r="F114" s="113"/>
    </row>
    <row r="115" spans="2:7" ht="15" customHeight="1" x14ac:dyDescent="0.2">
      <c r="B115" s="109"/>
      <c r="C115" s="115"/>
      <c r="D115" s="113"/>
      <c r="E115" s="113"/>
      <c r="F115" s="113"/>
    </row>
    <row r="116" spans="2:7" ht="15" customHeight="1" x14ac:dyDescent="0.2">
      <c r="B116" s="109"/>
      <c r="C116" s="115"/>
      <c r="D116" s="113"/>
      <c r="E116" s="113"/>
      <c r="F116" s="113"/>
    </row>
    <row r="117" spans="2:7" ht="15" customHeight="1" x14ac:dyDescent="0.2">
      <c r="F117" s="228">
        <f>F102</f>
        <v>90397.529999999824</v>
      </c>
    </row>
    <row r="123" spans="2:7" ht="15" customHeight="1" x14ac:dyDescent="0.25">
      <c r="B123" s="132" t="s">
        <v>238</v>
      </c>
      <c r="C123" s="173" t="s">
        <v>239</v>
      </c>
      <c r="D123" s="132" t="s">
        <v>240</v>
      </c>
      <c r="E123" s="132" t="s">
        <v>241</v>
      </c>
      <c r="F123" s="132" t="s">
        <v>242</v>
      </c>
      <c r="G123" s="132" t="s">
        <v>243</v>
      </c>
    </row>
    <row r="124" spans="2:7" ht="15" customHeight="1" x14ac:dyDescent="0.2">
      <c r="B124" s="109">
        <v>45476</v>
      </c>
      <c r="C124" s="110"/>
      <c r="D124" s="137">
        <v>340</v>
      </c>
      <c r="E124" s="138"/>
      <c r="F124" s="137">
        <v>-22865.78</v>
      </c>
      <c r="G124" s="137"/>
    </row>
    <row r="125" spans="2:7" ht="15" customHeight="1" x14ac:dyDescent="0.2">
      <c r="B125" s="109">
        <v>46227</v>
      </c>
      <c r="C125" s="110"/>
      <c r="D125" s="137">
        <v>1100</v>
      </c>
      <c r="E125" s="138"/>
      <c r="F125" s="137">
        <f>D102</f>
        <v>-97766.19</v>
      </c>
      <c r="G125" s="137"/>
    </row>
    <row r="126" spans="2:7" ht="15" customHeight="1" x14ac:dyDescent="0.2">
      <c r="B126" s="116"/>
      <c r="C126" s="116"/>
      <c r="D126" s="143">
        <f>SUM(D124:D125)</f>
        <v>1440</v>
      </c>
      <c r="E126" s="144">
        <f>IF(D126=0,0,-F126/D126)</f>
        <v>83.772201388888888</v>
      </c>
      <c r="F126" s="143">
        <f>SUM(F124:F125)</f>
        <v>-120631.97</v>
      </c>
      <c r="G126" s="143"/>
    </row>
    <row r="129" spans="1:7" ht="15" customHeight="1" x14ac:dyDescent="0.25">
      <c r="B129" s="132" t="s">
        <v>238</v>
      </c>
      <c r="C129" s="173" t="s">
        <v>244</v>
      </c>
      <c r="D129" s="132" t="s">
        <v>240</v>
      </c>
      <c r="E129" s="132" t="s">
        <v>241</v>
      </c>
      <c r="F129" s="132" t="s">
        <v>242</v>
      </c>
      <c r="G129" s="132" t="s">
        <v>243</v>
      </c>
    </row>
    <row r="130" spans="1:7" ht="15" customHeight="1" x14ac:dyDescent="0.2">
      <c r="B130" s="109">
        <v>45511</v>
      </c>
      <c r="C130" s="110"/>
      <c r="D130" s="137">
        <v>81</v>
      </c>
      <c r="E130" s="138"/>
      <c r="F130" s="137">
        <v>-35809.96</v>
      </c>
      <c r="G130" s="137"/>
    </row>
    <row r="131" spans="1:7" ht="15" customHeight="1" x14ac:dyDescent="0.2">
      <c r="B131" s="109">
        <v>46202</v>
      </c>
      <c r="C131" s="110"/>
      <c r="D131" s="137">
        <v>-81</v>
      </c>
      <c r="E131" s="138"/>
      <c r="F131" s="137">
        <f>D85</f>
        <v>57478.07</v>
      </c>
      <c r="G131" s="137"/>
    </row>
    <row r="132" spans="1:7" ht="15" customHeight="1" x14ac:dyDescent="0.2">
      <c r="B132" s="116"/>
      <c r="C132" s="116"/>
      <c r="D132" s="143">
        <f>SUM(D130:D131)</f>
        <v>0</v>
      </c>
      <c r="E132" s="144">
        <f>IF(D132=0,0,-F132/D132)</f>
        <v>0</v>
      </c>
      <c r="F132" s="143">
        <f>SUM(F130:F131)</f>
        <v>21668.11</v>
      </c>
      <c r="G132" s="143"/>
    </row>
    <row r="134" spans="1:7" ht="15" customHeight="1" x14ac:dyDescent="0.25">
      <c r="B134" s="132" t="s">
        <v>238</v>
      </c>
      <c r="C134" s="173" t="s">
        <v>245</v>
      </c>
      <c r="D134" s="132" t="s">
        <v>240</v>
      </c>
      <c r="E134" s="132" t="s">
        <v>241</v>
      </c>
      <c r="F134" s="132" t="s">
        <v>242</v>
      </c>
      <c r="G134" s="132" t="s">
        <v>243</v>
      </c>
    </row>
    <row r="135" spans="1:7" ht="15" customHeight="1" x14ac:dyDescent="0.2">
      <c r="B135" s="109">
        <v>45511</v>
      </c>
      <c r="C135" s="110"/>
      <c r="D135" s="137">
        <v>22</v>
      </c>
      <c r="E135" s="138"/>
      <c r="F135" s="137">
        <v>-8936.43</v>
      </c>
      <c r="G135" s="137"/>
    </row>
    <row r="136" spans="1:7" ht="15" customHeight="1" x14ac:dyDescent="0.2">
      <c r="B136" s="116"/>
      <c r="C136" s="116"/>
      <c r="D136" s="143">
        <v>22</v>
      </c>
      <c r="E136" s="144">
        <v>406.20136363636362</v>
      </c>
      <c r="F136" s="143">
        <v>-8936.43</v>
      </c>
      <c r="G136" s="143"/>
    </row>
    <row r="138" spans="1:7" ht="15" customHeight="1" x14ac:dyDescent="0.25">
      <c r="B138" s="132" t="s">
        <v>238</v>
      </c>
      <c r="C138" s="173" t="s">
        <v>246</v>
      </c>
      <c r="D138" s="132" t="s">
        <v>240</v>
      </c>
      <c r="E138" s="132" t="s">
        <v>241</v>
      </c>
      <c r="F138" s="132" t="s">
        <v>242</v>
      </c>
      <c r="G138" s="132" t="s">
        <v>243</v>
      </c>
    </row>
    <row r="139" spans="1:7" ht="11.25" x14ac:dyDescent="0.2">
      <c r="B139" s="109">
        <v>45511</v>
      </c>
      <c r="C139" s="110"/>
      <c r="D139" s="137">
        <v>208</v>
      </c>
      <c r="E139" s="138">
        <v>105.17538461538462</v>
      </c>
      <c r="F139" s="137">
        <v>-21876.48</v>
      </c>
      <c r="G139" s="137"/>
    </row>
    <row r="140" spans="1:7" ht="11.25" x14ac:dyDescent="0.2">
      <c r="B140" s="109">
        <v>45548</v>
      </c>
      <c r="C140" s="110"/>
      <c r="D140" s="137">
        <v>-208</v>
      </c>
      <c r="E140" s="138"/>
      <c r="F140" s="137">
        <v>21876.48</v>
      </c>
      <c r="G140" s="137"/>
    </row>
    <row r="141" spans="1:7" ht="11.25" x14ac:dyDescent="0.2">
      <c r="B141" s="109">
        <v>45685</v>
      </c>
      <c r="C141" s="110"/>
      <c r="D141" s="137">
        <v>250</v>
      </c>
      <c r="E141" s="138"/>
      <c r="F141" s="137">
        <v>-30491.119999999999</v>
      </c>
      <c r="G141" s="137"/>
    </row>
    <row r="142" spans="1:7" ht="11.25" x14ac:dyDescent="0.2">
      <c r="B142" s="109">
        <v>45750</v>
      </c>
      <c r="C142" s="110"/>
      <c r="D142" s="137">
        <v>250</v>
      </c>
      <c r="E142" s="138"/>
      <c r="F142" s="137">
        <v>26895.94</v>
      </c>
      <c r="G142" s="137"/>
    </row>
    <row r="143" spans="1:7" ht="11.25" x14ac:dyDescent="0.2">
      <c r="B143" s="109">
        <v>45834</v>
      </c>
      <c r="C143" s="110"/>
      <c r="D143" s="137">
        <v>66</v>
      </c>
      <c r="E143" s="138"/>
      <c r="F143" s="137">
        <v>-10159.14</v>
      </c>
      <c r="G143" s="137"/>
    </row>
    <row r="144" spans="1:7" ht="11.25" x14ac:dyDescent="0.2">
      <c r="A144" s="234"/>
      <c r="B144" s="109">
        <v>46056</v>
      </c>
      <c r="C144" s="110"/>
      <c r="D144" s="137">
        <v>84</v>
      </c>
      <c r="E144" s="138"/>
      <c r="F144" s="137">
        <f>D17</f>
        <v>-14972</v>
      </c>
      <c r="G144" s="137"/>
    </row>
    <row r="145" spans="1:7" ht="11.25" x14ac:dyDescent="0.2">
      <c r="A145" s="234"/>
      <c r="B145" s="109">
        <v>46087</v>
      </c>
      <c r="C145" s="110"/>
      <c r="D145" s="137">
        <v>80</v>
      </c>
      <c r="E145" s="138"/>
      <c r="F145" s="137">
        <f>D30</f>
        <v>-14766.65</v>
      </c>
      <c r="G145" s="137"/>
    </row>
    <row r="146" spans="1:7" ht="11.25" x14ac:dyDescent="0.2">
      <c r="A146" s="234"/>
      <c r="B146" s="109">
        <v>46202</v>
      </c>
      <c r="C146" s="110"/>
      <c r="D146" s="137">
        <v>-146</v>
      </c>
      <c r="E146" s="138"/>
      <c r="F146" s="137">
        <f>D87</f>
        <v>28146.92</v>
      </c>
      <c r="G146" s="137"/>
    </row>
    <row r="147" spans="1:7" ht="11.25" x14ac:dyDescent="0.2">
      <c r="B147" s="116"/>
      <c r="C147" s="116"/>
      <c r="D147" s="143">
        <f>SUM(D143:D146)</f>
        <v>84</v>
      </c>
      <c r="E147" s="144">
        <f>IF(D147=0,0,-F147/D147)</f>
        <v>139.89130952380955</v>
      </c>
      <c r="F147" s="143">
        <f>SUM(F143:F146)</f>
        <v>-11750.870000000003</v>
      </c>
      <c r="G147" s="143"/>
    </row>
    <row r="148" spans="1:7" ht="11.25" x14ac:dyDescent="0.2"/>
    <row r="150" spans="1:7" ht="15" customHeight="1" x14ac:dyDescent="0.25">
      <c r="B150" s="132" t="s">
        <v>238</v>
      </c>
      <c r="C150" s="173" t="s">
        <v>247</v>
      </c>
      <c r="D150" s="132" t="s">
        <v>240</v>
      </c>
      <c r="E150" s="132" t="s">
        <v>241</v>
      </c>
      <c r="F150" s="132" t="s">
        <v>242</v>
      </c>
      <c r="G150" s="132" t="s">
        <v>243</v>
      </c>
    </row>
    <row r="151" spans="1:7" ht="15" customHeight="1" x14ac:dyDescent="0.2">
      <c r="B151" s="109">
        <v>45511</v>
      </c>
      <c r="C151" s="110"/>
      <c r="D151" s="137">
        <v>169</v>
      </c>
      <c r="E151" s="138"/>
      <c r="F151" s="137">
        <v>-37545.83</v>
      </c>
      <c r="G151" s="137"/>
    </row>
    <row r="152" spans="1:7" ht="15" customHeight="1" x14ac:dyDescent="0.2">
      <c r="B152" s="116"/>
      <c r="C152" s="116"/>
      <c r="D152" s="143">
        <v>169</v>
      </c>
      <c r="E152" s="144">
        <v>222.16467455621301</v>
      </c>
      <c r="F152" s="143">
        <v>-37545.83</v>
      </c>
      <c r="G152" s="143"/>
    </row>
    <row r="154" spans="1:7" x14ac:dyDescent="0.25">
      <c r="B154" s="132" t="s">
        <v>238</v>
      </c>
      <c r="C154" s="176" t="s">
        <v>248</v>
      </c>
      <c r="D154" s="132" t="s">
        <v>240</v>
      </c>
      <c r="E154" s="132" t="s">
        <v>241</v>
      </c>
      <c r="F154" s="132" t="s">
        <v>242</v>
      </c>
      <c r="G154" s="132" t="s">
        <v>243</v>
      </c>
    </row>
    <row r="155" spans="1:7" ht="11.25" x14ac:dyDescent="0.2">
      <c r="B155" s="109">
        <v>45511</v>
      </c>
      <c r="C155" s="110"/>
      <c r="D155" s="137">
        <v>185</v>
      </c>
      <c r="E155" s="138"/>
      <c r="F155" s="137">
        <v>-30008.15</v>
      </c>
      <c r="G155" s="137"/>
    </row>
    <row r="156" spans="1:7" ht="11.25" x14ac:dyDescent="0.2">
      <c r="B156" s="116"/>
      <c r="C156" s="116"/>
      <c r="D156" s="143">
        <v>185</v>
      </c>
      <c r="E156" s="144">
        <v>162.20621621621623</v>
      </c>
      <c r="F156" s="143">
        <v>-30008.15</v>
      </c>
      <c r="G156" s="143"/>
    </row>
    <row r="157" spans="1:7" ht="11.25" x14ac:dyDescent="0.2"/>
    <row r="158" spans="1:7" x14ac:dyDescent="0.25">
      <c r="B158" s="132" t="s">
        <v>238</v>
      </c>
      <c r="C158" s="176" t="s">
        <v>249</v>
      </c>
      <c r="D158" s="132" t="s">
        <v>240</v>
      </c>
      <c r="E158" s="132" t="s">
        <v>241</v>
      </c>
      <c r="F158" s="132" t="s">
        <v>242</v>
      </c>
      <c r="G158" s="132" t="s">
        <v>243</v>
      </c>
    </row>
    <row r="159" spans="1:7" ht="15" customHeight="1" x14ac:dyDescent="0.2">
      <c r="B159" s="109">
        <v>45595</v>
      </c>
      <c r="C159" s="110"/>
      <c r="D159" s="137">
        <v>443</v>
      </c>
      <c r="E159" s="138"/>
      <c r="F159" s="137">
        <v>-41557.279999999999</v>
      </c>
      <c r="G159" s="137"/>
    </row>
    <row r="160" spans="1:7" ht="11.25" x14ac:dyDescent="0.2">
      <c r="B160" s="109">
        <v>45385</v>
      </c>
      <c r="C160" s="110"/>
      <c r="D160" s="137">
        <v>-443</v>
      </c>
      <c r="E160" s="138"/>
      <c r="F160" s="137">
        <v>40919.93</v>
      </c>
      <c r="G160" s="137"/>
    </row>
    <row r="161" spans="2:7" ht="11.25" x14ac:dyDescent="0.2">
      <c r="B161" s="109">
        <v>45961</v>
      </c>
      <c r="C161" s="110"/>
      <c r="D161" s="137">
        <v>160</v>
      </c>
      <c r="E161" s="138"/>
      <c r="F161" s="137">
        <v>-19808.46</v>
      </c>
      <c r="G161" s="137"/>
    </row>
    <row r="162" spans="2:7" ht="11.25" x14ac:dyDescent="0.2">
      <c r="B162" s="109" t="s">
        <v>250</v>
      </c>
      <c r="C162" s="110"/>
      <c r="D162" s="137">
        <v>-160</v>
      </c>
      <c r="E162" s="138"/>
      <c r="F162" s="137">
        <f>E8</f>
        <v>18737.8</v>
      </c>
      <c r="G162" s="137"/>
    </row>
    <row r="163" spans="2:7" ht="11.25" x14ac:dyDescent="0.2">
      <c r="B163" s="116"/>
      <c r="C163" s="116"/>
      <c r="D163" s="143">
        <f>D162+D161</f>
        <v>0</v>
      </c>
      <c r="E163" s="143">
        <v>123.802875</v>
      </c>
      <c r="F163" s="143">
        <f>F162+F161</f>
        <v>-1070.6599999999999</v>
      </c>
      <c r="G163" s="143"/>
    </row>
    <row r="164" spans="2:7" ht="11.25" x14ac:dyDescent="0.2"/>
    <row r="165" spans="2:7" ht="15" customHeight="1" x14ac:dyDescent="0.25">
      <c r="B165" s="132" t="s">
        <v>238</v>
      </c>
      <c r="C165" s="176" t="s">
        <v>251</v>
      </c>
      <c r="D165" s="132" t="s">
        <v>240</v>
      </c>
      <c r="E165" s="132" t="s">
        <v>241</v>
      </c>
      <c r="F165" s="132" t="s">
        <v>242</v>
      </c>
      <c r="G165" s="132" t="s">
        <v>243</v>
      </c>
    </row>
    <row r="166" spans="2:7" ht="15" customHeight="1" x14ac:dyDescent="0.2">
      <c r="B166" s="109">
        <v>45596</v>
      </c>
      <c r="C166" s="110"/>
      <c r="D166" s="137">
        <v>49</v>
      </c>
      <c r="E166" s="138"/>
      <c r="F166" s="137">
        <v>-4593.51</v>
      </c>
      <c r="G166" s="137"/>
    </row>
    <row r="167" spans="2:7" ht="15" customHeight="1" x14ac:dyDescent="0.2">
      <c r="B167" s="109">
        <v>45693</v>
      </c>
      <c r="C167" s="110"/>
      <c r="D167" s="137">
        <v>53</v>
      </c>
      <c r="E167" s="138"/>
      <c r="F167" s="137">
        <v>-6466.8</v>
      </c>
      <c r="G167" s="137"/>
    </row>
    <row r="168" spans="2:7" ht="15" customHeight="1" x14ac:dyDescent="0.2">
      <c r="B168" s="109">
        <v>45707</v>
      </c>
      <c r="C168" s="110"/>
      <c r="D168" s="137">
        <v>65</v>
      </c>
      <c r="E168" s="138"/>
      <c r="F168" s="137">
        <v>-6980.12</v>
      </c>
      <c r="G168" s="137"/>
    </row>
    <row r="169" spans="2:7" ht="15" customHeight="1" x14ac:dyDescent="0.2">
      <c r="B169" s="109">
        <v>45789</v>
      </c>
      <c r="C169" s="110"/>
      <c r="D169" s="137">
        <v>157</v>
      </c>
      <c r="E169" s="138"/>
      <c r="F169" s="137">
        <v>-14298.18</v>
      </c>
      <c r="G169" s="137"/>
    </row>
    <row r="170" spans="2:7" ht="15" customHeight="1" x14ac:dyDescent="0.2">
      <c r="B170" s="109">
        <v>46093</v>
      </c>
      <c r="C170" s="110"/>
      <c r="D170" s="137">
        <v>-324</v>
      </c>
      <c r="E170" s="138"/>
      <c r="F170" s="137">
        <f>E31</f>
        <v>14752.98</v>
      </c>
      <c r="G170" s="137"/>
    </row>
    <row r="171" spans="2:7" ht="15" customHeight="1" x14ac:dyDescent="0.2">
      <c r="B171" s="116"/>
      <c r="C171" s="116"/>
      <c r="D171" s="143">
        <f>SUM(D166:D170)</f>
        <v>0</v>
      </c>
      <c r="E171" s="144">
        <v>99.810524691358026</v>
      </c>
      <c r="F171" s="143">
        <f>SUM(F166:F170)</f>
        <v>-17585.63</v>
      </c>
      <c r="G171" s="143"/>
    </row>
    <row r="172" spans="2:7" ht="15" customHeight="1" x14ac:dyDescent="0.2">
      <c r="D172" s="122"/>
    </row>
    <row r="173" spans="2:7" ht="15" customHeight="1" x14ac:dyDescent="0.25">
      <c r="B173" s="132" t="s">
        <v>238</v>
      </c>
      <c r="C173" t="s">
        <v>252</v>
      </c>
      <c r="D173" s="132" t="s">
        <v>240</v>
      </c>
      <c r="E173" s="132" t="s">
        <v>241</v>
      </c>
      <c r="F173" s="132" t="s">
        <v>242</v>
      </c>
      <c r="G173" s="132" t="s">
        <v>243</v>
      </c>
    </row>
    <row r="174" spans="2:7" ht="15" customHeight="1" x14ac:dyDescent="0.2">
      <c r="B174" s="109">
        <v>46059</v>
      </c>
      <c r="C174" s="110"/>
      <c r="D174" s="137">
        <v>850</v>
      </c>
      <c r="E174" s="138"/>
      <c r="F174" s="137">
        <v>-50167.8</v>
      </c>
      <c r="G174" s="137"/>
    </row>
    <row r="175" spans="2:7" ht="15" customHeight="1" x14ac:dyDescent="0.2">
      <c r="B175" s="109">
        <v>46134</v>
      </c>
      <c r="C175" s="110"/>
      <c r="D175" s="137">
        <v>-850</v>
      </c>
      <c r="E175" s="138"/>
      <c r="F175" s="137">
        <f>E46</f>
        <v>48296.99</v>
      </c>
      <c r="G175" s="137"/>
    </row>
    <row r="176" spans="2:7" ht="15" customHeight="1" x14ac:dyDescent="0.2">
      <c r="B176" s="109"/>
      <c r="C176" s="110"/>
      <c r="D176" s="137"/>
      <c r="E176" s="138"/>
      <c r="F176" s="137"/>
      <c r="G176" s="137"/>
    </row>
    <row r="177" spans="2:7" ht="15" customHeight="1" x14ac:dyDescent="0.2">
      <c r="B177" s="116"/>
      <c r="C177" s="116"/>
      <c r="D177" s="143">
        <f>SUM(D174:D175)</f>
        <v>0</v>
      </c>
      <c r="E177" s="144">
        <f>IF(D177=0,0,-F177/D177)</f>
        <v>0</v>
      </c>
      <c r="F177" s="143">
        <f>SUM(F174:F175)</f>
        <v>-1870.8100000000049</v>
      </c>
      <c r="G177" s="143"/>
    </row>
    <row r="180" spans="2:7" ht="15" customHeight="1" x14ac:dyDescent="0.25">
      <c r="B180" s="132" t="s">
        <v>238</v>
      </c>
      <c r="C180" s="173" t="s">
        <v>253</v>
      </c>
      <c r="D180" s="132" t="s">
        <v>240</v>
      </c>
      <c r="E180" s="132" t="s">
        <v>241</v>
      </c>
      <c r="F180" s="132" t="s">
        <v>242</v>
      </c>
      <c r="G180" s="132" t="s">
        <v>243</v>
      </c>
    </row>
    <row r="181" spans="2:7" ht="15" customHeight="1" x14ac:dyDescent="0.2">
      <c r="B181" s="109">
        <v>45720</v>
      </c>
      <c r="C181" s="110"/>
      <c r="D181" s="137">
        <v>190</v>
      </c>
      <c r="E181" s="138"/>
      <c r="F181" s="137">
        <v>-10480.39</v>
      </c>
      <c r="G181" s="137"/>
    </row>
    <row r="182" spans="2:7" ht="15" customHeight="1" x14ac:dyDescent="0.2">
      <c r="B182" s="116"/>
      <c r="C182" s="116"/>
      <c r="D182" s="143">
        <v>190</v>
      </c>
      <c r="E182" s="144">
        <v>55.159947368421051</v>
      </c>
      <c r="F182" s="143">
        <v>-10480.39</v>
      </c>
      <c r="G182" s="143"/>
    </row>
    <row r="185" spans="2:7" ht="15" customHeight="1" x14ac:dyDescent="0.25">
      <c r="B185" s="132" t="s">
        <v>238</v>
      </c>
      <c r="C185" t="s">
        <v>254</v>
      </c>
      <c r="D185" s="132" t="s">
        <v>240</v>
      </c>
      <c r="E185" s="132" t="s">
        <v>241</v>
      </c>
      <c r="F185" s="132" t="s">
        <v>242</v>
      </c>
      <c r="G185" s="132" t="s">
        <v>243</v>
      </c>
    </row>
    <row r="186" spans="2:7" ht="15" customHeight="1" x14ac:dyDescent="0.2">
      <c r="B186" s="109">
        <v>45741</v>
      </c>
      <c r="C186" s="110"/>
      <c r="D186" s="137">
        <v>155</v>
      </c>
      <c r="E186" s="138"/>
      <c r="F186" s="137">
        <v>-8221.1299999999992</v>
      </c>
      <c r="G186" s="137"/>
    </row>
    <row r="187" spans="2:7" ht="15" customHeight="1" x14ac:dyDescent="0.2">
      <c r="B187" s="109"/>
      <c r="C187" s="110"/>
      <c r="D187" s="137">
        <v>-155</v>
      </c>
      <c r="E187" s="138"/>
      <c r="F187" s="137">
        <v>8012.53</v>
      </c>
      <c r="G187" s="137"/>
    </row>
    <row r="188" spans="2:7" ht="15" customHeight="1" x14ac:dyDescent="0.2">
      <c r="B188" s="116"/>
      <c r="C188" s="116"/>
      <c r="D188" s="143">
        <v>0</v>
      </c>
      <c r="E188" s="144">
        <f>IF(D188=0,0,-F188/D188)</f>
        <v>0</v>
      </c>
      <c r="F188" s="143">
        <v>-208.59999999999945</v>
      </c>
      <c r="G188" s="143"/>
    </row>
    <row r="190" spans="2:7" ht="15" customHeight="1" x14ac:dyDescent="0.25">
      <c r="B190" s="132" t="s">
        <v>238</v>
      </c>
      <c r="C190" s="173" t="s">
        <v>255</v>
      </c>
      <c r="D190" s="132" t="s">
        <v>240</v>
      </c>
      <c r="E190" s="132" t="s">
        <v>241</v>
      </c>
      <c r="F190" s="132" t="s">
        <v>242</v>
      </c>
      <c r="G190" s="132" t="s">
        <v>243</v>
      </c>
    </row>
    <row r="191" spans="2:7" ht="15" customHeight="1" x14ac:dyDescent="0.2">
      <c r="B191" s="109">
        <v>45777</v>
      </c>
      <c r="C191" s="110"/>
      <c r="D191" s="137">
        <v>18</v>
      </c>
      <c r="E191" s="138"/>
      <c r="F191" s="137">
        <v>-10049.459999999999</v>
      </c>
      <c r="G191" s="137"/>
    </row>
    <row r="192" spans="2:7" ht="15" customHeight="1" x14ac:dyDescent="0.2">
      <c r="B192" s="109">
        <v>45794</v>
      </c>
      <c r="C192" s="110"/>
      <c r="D192" s="137">
        <v>-18</v>
      </c>
      <c r="E192" s="138"/>
      <c r="F192" s="137">
        <v>11271.37</v>
      </c>
      <c r="G192" s="137"/>
    </row>
    <row r="193" spans="2:7" ht="15" customHeight="1" x14ac:dyDescent="0.2">
      <c r="B193" s="109">
        <v>45811</v>
      </c>
      <c r="C193" s="110"/>
      <c r="D193" s="137">
        <v>18</v>
      </c>
      <c r="E193" s="138"/>
      <c r="F193" s="137">
        <v>-12164.31</v>
      </c>
      <c r="G193" s="137"/>
    </row>
    <row r="194" spans="2:7" ht="15" customHeight="1" x14ac:dyDescent="0.2">
      <c r="B194" s="109">
        <v>45961</v>
      </c>
      <c r="C194" s="110"/>
      <c r="D194" s="137">
        <v>25</v>
      </c>
      <c r="E194" s="138"/>
      <c r="F194" s="137">
        <v>-16704.669999999998</v>
      </c>
      <c r="G194" s="137"/>
    </row>
    <row r="195" spans="2:7" ht="15" customHeight="1" x14ac:dyDescent="0.2">
      <c r="B195" s="109">
        <v>46058</v>
      </c>
      <c r="C195" s="110"/>
      <c r="D195" s="137">
        <v>35</v>
      </c>
      <c r="E195" s="138"/>
      <c r="F195" s="137">
        <f>D23</f>
        <v>-24370.19</v>
      </c>
      <c r="G195" s="137"/>
    </row>
    <row r="196" spans="2:7" ht="15" customHeight="1" x14ac:dyDescent="0.2">
      <c r="B196" s="109">
        <v>46164</v>
      </c>
      <c r="C196" s="110"/>
      <c r="D196" s="137">
        <v>-78</v>
      </c>
      <c r="E196" s="138"/>
      <c r="F196" s="137">
        <f>E78</f>
        <v>46979.39</v>
      </c>
      <c r="G196" s="137"/>
    </row>
    <row r="197" spans="2:7" ht="15" customHeight="1" x14ac:dyDescent="0.2">
      <c r="B197" s="116"/>
      <c r="C197" s="116"/>
      <c r="D197" s="143">
        <f>SUM(D193:D196)</f>
        <v>0</v>
      </c>
      <c r="E197" s="144">
        <f>IF(D197=0,0,-F197/D197)</f>
        <v>0</v>
      </c>
      <c r="F197" s="143">
        <f>SUM(F193:F196)</f>
        <v>-6259.7799999999988</v>
      </c>
      <c r="G197" s="143"/>
    </row>
    <row r="200" spans="2:7" ht="15" customHeight="1" x14ac:dyDescent="0.25">
      <c r="B200" s="132" t="s">
        <v>238</v>
      </c>
      <c r="C200" t="s">
        <v>256</v>
      </c>
      <c r="D200" s="132" t="s">
        <v>240</v>
      </c>
      <c r="E200" s="132" t="s">
        <v>241</v>
      </c>
      <c r="F200" s="132" t="s">
        <v>242</v>
      </c>
      <c r="G200" s="132" t="s">
        <v>243</v>
      </c>
    </row>
    <row r="201" spans="2:7" ht="15" customHeight="1" x14ac:dyDescent="0.2">
      <c r="B201" s="109">
        <v>45777</v>
      </c>
      <c r="C201" s="110"/>
      <c r="D201" s="137">
        <v>232</v>
      </c>
      <c r="E201" s="138"/>
      <c r="F201" s="137">
        <v>-19614.11</v>
      </c>
      <c r="G201" s="137"/>
    </row>
    <row r="202" spans="2:7" ht="15" customHeight="1" x14ac:dyDescent="0.2">
      <c r="B202" s="109" t="s">
        <v>107</v>
      </c>
      <c r="C202" s="110"/>
      <c r="D202" s="137">
        <v>-232</v>
      </c>
      <c r="E202" s="138"/>
      <c r="F202" s="137">
        <f>E7</f>
        <v>19146.23</v>
      </c>
      <c r="G202" s="137"/>
    </row>
    <row r="203" spans="2:7" ht="15" customHeight="1" x14ac:dyDescent="0.2">
      <c r="B203" s="116"/>
      <c r="C203" s="116"/>
      <c r="D203" s="143">
        <f>D201+D202</f>
        <v>0</v>
      </c>
      <c r="E203" s="144">
        <v>84.543577586206894</v>
      </c>
      <c r="F203" s="143">
        <f>F202+F201</f>
        <v>-467.88000000000102</v>
      </c>
      <c r="G203" s="143"/>
    </row>
    <row r="206" spans="2:7" ht="15" customHeight="1" x14ac:dyDescent="0.25">
      <c r="B206" s="132" t="s">
        <v>238</v>
      </c>
      <c r="C206" t="s">
        <v>257</v>
      </c>
      <c r="D206" s="132" t="s">
        <v>240</v>
      </c>
      <c r="E206" s="132" t="s">
        <v>241</v>
      </c>
      <c r="F206" s="132" t="s">
        <v>242</v>
      </c>
      <c r="G206" s="132" t="s">
        <v>243</v>
      </c>
    </row>
    <row r="207" spans="2:7" ht="15" customHeight="1" x14ac:dyDescent="0.2">
      <c r="B207" s="109">
        <v>45789</v>
      </c>
      <c r="C207" s="110"/>
      <c r="D207" s="137">
        <v>94</v>
      </c>
      <c r="E207" s="138"/>
      <c r="F207" s="137">
        <v>-19863.79</v>
      </c>
      <c r="G207" s="137"/>
    </row>
    <row r="208" spans="2:7" ht="15" customHeight="1" x14ac:dyDescent="0.2">
      <c r="B208" s="109">
        <v>45839</v>
      </c>
      <c r="C208" s="110"/>
      <c r="D208" s="137">
        <v>-94</v>
      </c>
      <c r="E208" s="138"/>
      <c r="F208" s="137">
        <v>19188.259999999998</v>
      </c>
      <c r="G208" s="137"/>
    </row>
    <row r="209" spans="2:7" ht="15" customHeight="1" x14ac:dyDescent="0.2">
      <c r="B209" s="116"/>
      <c r="C209" s="116"/>
      <c r="D209" s="143">
        <v>0</v>
      </c>
      <c r="E209" s="144">
        <v>211.31691489361702</v>
      </c>
      <c r="F209" s="143">
        <v>-19863.79</v>
      </c>
      <c r="G209" s="143"/>
    </row>
    <row r="211" spans="2:7" ht="15" customHeight="1" x14ac:dyDescent="0.25">
      <c r="B211" s="132" t="s">
        <v>238</v>
      </c>
      <c r="C211" t="s">
        <v>258</v>
      </c>
      <c r="D211" s="132" t="s">
        <v>240</v>
      </c>
      <c r="E211" s="132" t="s">
        <v>241</v>
      </c>
      <c r="F211" s="132" t="s">
        <v>242</v>
      </c>
      <c r="G211" s="132" t="s">
        <v>243</v>
      </c>
    </row>
    <row r="212" spans="2:7" ht="15" customHeight="1" x14ac:dyDescent="0.2">
      <c r="B212" s="109">
        <v>46059</v>
      </c>
      <c r="C212" s="110"/>
      <c r="D212" s="137">
        <v>165</v>
      </c>
      <c r="E212" s="138"/>
      <c r="F212" s="137">
        <f>D26</f>
        <v>-15087.8</v>
      </c>
      <c r="G212" s="137"/>
    </row>
    <row r="213" spans="2:7" ht="15" customHeight="1" x14ac:dyDescent="0.2">
      <c r="B213" s="109">
        <v>46163</v>
      </c>
      <c r="C213" s="110"/>
      <c r="D213" s="137">
        <v>-165</v>
      </c>
      <c r="E213" s="138"/>
      <c r="F213" s="137">
        <f>E77</f>
        <v>15839.47</v>
      </c>
      <c r="G213" s="137"/>
    </row>
    <row r="214" spans="2:7" ht="15" customHeight="1" x14ac:dyDescent="0.2">
      <c r="B214" s="116"/>
      <c r="C214" s="116"/>
      <c r="D214" s="143">
        <f>D212+D213</f>
        <v>0</v>
      </c>
      <c r="E214" s="144">
        <v>91.441212121212104</v>
      </c>
      <c r="F214" s="143">
        <f>F212+F213</f>
        <v>751.67000000000007</v>
      </c>
      <c r="G214" s="143"/>
    </row>
    <row r="216" spans="2:7" ht="15" customHeight="1" x14ac:dyDescent="0.25">
      <c r="B216" s="132" t="s">
        <v>238</v>
      </c>
      <c r="C216" s="173" t="s">
        <v>259</v>
      </c>
      <c r="D216" s="132" t="s">
        <v>240</v>
      </c>
      <c r="E216" s="132" t="s">
        <v>241</v>
      </c>
      <c r="F216" s="132" t="s">
        <v>242</v>
      </c>
      <c r="G216" s="132" t="s">
        <v>243</v>
      </c>
    </row>
    <row r="217" spans="2:7" ht="15" customHeight="1" x14ac:dyDescent="0.2">
      <c r="B217" s="109">
        <v>45792</v>
      </c>
      <c r="C217" s="110"/>
      <c r="D217" s="137">
        <v>103</v>
      </c>
      <c r="E217" s="138"/>
      <c r="F217" s="137">
        <v>-9804.08</v>
      </c>
      <c r="G217" s="137"/>
    </row>
    <row r="218" spans="2:7" ht="15" customHeight="1" x14ac:dyDescent="0.2">
      <c r="B218" s="109">
        <v>46165</v>
      </c>
      <c r="C218" s="110"/>
      <c r="D218" s="137">
        <v>-103</v>
      </c>
      <c r="E218" s="138"/>
      <c r="F218" s="137">
        <f>E35</f>
        <v>12274.59</v>
      </c>
      <c r="G218" s="137"/>
    </row>
    <row r="219" spans="2:7" ht="15" customHeight="1" x14ac:dyDescent="0.2">
      <c r="B219" s="116"/>
      <c r="C219" s="116"/>
      <c r="D219" s="143">
        <f>SUM(D217:D218)</f>
        <v>0</v>
      </c>
      <c r="E219" s="144">
        <v>95.185242718446602</v>
      </c>
      <c r="F219" s="143">
        <f>SUM(F217:F218)</f>
        <v>2470.5100000000002</v>
      </c>
      <c r="G219" s="143"/>
    </row>
    <row r="222" spans="2:7" ht="15" customHeight="1" x14ac:dyDescent="0.25">
      <c r="B222" s="132" t="s">
        <v>238</v>
      </c>
      <c r="C222" s="173" t="s">
        <v>260</v>
      </c>
      <c r="D222" s="132" t="s">
        <v>240</v>
      </c>
      <c r="E222" s="132" t="s">
        <v>241</v>
      </c>
      <c r="F222" s="132" t="s">
        <v>242</v>
      </c>
      <c r="G222" s="132" t="s">
        <v>243</v>
      </c>
    </row>
    <row r="223" spans="2:7" ht="15" customHeight="1" x14ac:dyDescent="0.2">
      <c r="B223" s="109">
        <v>45813</v>
      </c>
      <c r="C223" s="110"/>
      <c r="D223" s="137">
        <v>281</v>
      </c>
      <c r="E223" s="138"/>
      <c r="F223" s="137">
        <v>-12183.79</v>
      </c>
      <c r="G223" s="137"/>
    </row>
    <row r="224" spans="2:7" ht="15" customHeight="1" x14ac:dyDescent="0.2">
      <c r="B224" s="109">
        <v>45826</v>
      </c>
      <c r="C224" s="110"/>
      <c r="D224" s="137">
        <v>-281</v>
      </c>
      <c r="E224" s="138"/>
      <c r="F224" s="137">
        <v>11334.43</v>
      </c>
      <c r="G224" s="137"/>
    </row>
    <row r="225" spans="2:7" ht="15" customHeight="1" x14ac:dyDescent="0.2">
      <c r="B225" s="116"/>
      <c r="C225" s="116"/>
      <c r="D225" s="143">
        <v>281</v>
      </c>
      <c r="E225" s="144">
        <v>-40.336049822064055</v>
      </c>
      <c r="F225" s="143">
        <v>11334.43</v>
      </c>
      <c r="G225" s="143"/>
    </row>
    <row r="227" spans="2:7" ht="15" customHeight="1" x14ac:dyDescent="0.25">
      <c r="B227" s="132" t="s">
        <v>238</v>
      </c>
      <c r="C227" s="173" t="s">
        <v>29</v>
      </c>
      <c r="D227" s="132" t="s">
        <v>240</v>
      </c>
      <c r="E227" s="132" t="s">
        <v>241</v>
      </c>
      <c r="F227" s="132" t="s">
        <v>242</v>
      </c>
      <c r="G227" s="132" t="s">
        <v>243</v>
      </c>
    </row>
    <row r="228" spans="2:7" ht="15" customHeight="1" x14ac:dyDescent="0.2">
      <c r="B228" s="109">
        <v>45828</v>
      </c>
      <c r="C228" s="110"/>
      <c r="D228" s="137">
        <v>36</v>
      </c>
      <c r="E228" s="138"/>
      <c r="F228" s="137">
        <v>-10095.31</v>
      </c>
      <c r="G228" s="137"/>
    </row>
    <row r="229" spans="2:7" ht="15" customHeight="1" x14ac:dyDescent="0.2">
      <c r="B229" s="116"/>
      <c r="C229" s="116"/>
      <c r="D229" s="143">
        <v>36</v>
      </c>
      <c r="E229" s="144">
        <v>280.42527777777775</v>
      </c>
      <c r="F229" s="143">
        <v>-10095.31</v>
      </c>
      <c r="G229" s="143"/>
    </row>
    <row r="232" spans="2:7" ht="15" customHeight="1" x14ac:dyDescent="0.25">
      <c r="B232" s="132" t="s">
        <v>238</v>
      </c>
      <c r="C232" t="s">
        <v>261</v>
      </c>
      <c r="D232" s="132" t="s">
        <v>240</v>
      </c>
      <c r="E232" s="132" t="s">
        <v>241</v>
      </c>
      <c r="F232" s="132" t="s">
        <v>242</v>
      </c>
      <c r="G232" s="132" t="s">
        <v>243</v>
      </c>
    </row>
    <row r="233" spans="2:7" ht="15" customHeight="1" x14ac:dyDescent="0.2">
      <c r="B233" s="109">
        <v>45833</v>
      </c>
      <c r="C233" s="110"/>
      <c r="D233" s="137">
        <v>70</v>
      </c>
      <c r="E233" s="138"/>
      <c r="F233" s="137">
        <v>-15066.68</v>
      </c>
      <c r="G233" s="137"/>
    </row>
    <row r="234" spans="2:7" ht="15" customHeight="1" x14ac:dyDescent="0.2">
      <c r="B234" s="116"/>
      <c r="C234" s="116"/>
      <c r="D234" s="143">
        <v>70</v>
      </c>
      <c r="E234" s="144">
        <v>215.23828571428572</v>
      </c>
      <c r="F234" s="143">
        <v>-15066.68</v>
      </c>
      <c r="G234" s="143"/>
    </row>
    <row r="236" spans="2:7" ht="15" customHeight="1" x14ac:dyDescent="0.25">
      <c r="B236" s="132" t="s">
        <v>238</v>
      </c>
      <c r="C236" t="s">
        <v>262</v>
      </c>
      <c r="D236" s="132" t="s">
        <v>240</v>
      </c>
      <c r="E236" s="132" t="s">
        <v>241</v>
      </c>
      <c r="F236" s="132" t="s">
        <v>242</v>
      </c>
      <c r="G236" s="132" t="s">
        <v>243</v>
      </c>
    </row>
    <row r="237" spans="2:7" ht="15" customHeight="1" x14ac:dyDescent="0.2">
      <c r="B237" s="109">
        <v>45833</v>
      </c>
      <c r="C237" s="110"/>
      <c r="D237" s="137">
        <v>71</v>
      </c>
      <c r="E237" s="138"/>
      <c r="F237" s="137">
        <v>-10272.42</v>
      </c>
      <c r="G237" s="137"/>
    </row>
    <row r="238" spans="2:7" ht="15" customHeight="1" x14ac:dyDescent="0.2">
      <c r="B238" s="109">
        <v>45845</v>
      </c>
      <c r="C238" s="110"/>
      <c r="D238" s="137">
        <v>-71</v>
      </c>
      <c r="E238" s="138"/>
      <c r="F238" s="137">
        <v>9464.6200000000008</v>
      </c>
      <c r="G238" s="137"/>
    </row>
    <row r="239" spans="2:7" ht="15" customHeight="1" x14ac:dyDescent="0.2">
      <c r="B239" s="116"/>
      <c r="C239" s="116"/>
      <c r="D239" s="143">
        <v>0</v>
      </c>
      <c r="E239" s="144">
        <v>144.68197183098593</v>
      </c>
      <c r="F239" s="143">
        <v>-10272.42</v>
      </c>
      <c r="G239" s="143"/>
    </row>
    <row r="241" spans="2:7" ht="15" customHeight="1" x14ac:dyDescent="0.25">
      <c r="B241" s="132" t="s">
        <v>238</v>
      </c>
      <c r="C241" t="s">
        <v>263</v>
      </c>
      <c r="D241" s="132" t="s">
        <v>240</v>
      </c>
      <c r="E241" s="132" t="s">
        <v>241</v>
      </c>
      <c r="F241" s="132" t="s">
        <v>242</v>
      </c>
      <c r="G241" s="132" t="s">
        <v>243</v>
      </c>
    </row>
    <row r="242" spans="2:7" ht="15" customHeight="1" x14ac:dyDescent="0.2">
      <c r="B242" s="109">
        <v>45835</v>
      </c>
      <c r="C242" s="110"/>
      <c r="D242" s="137">
        <v>68</v>
      </c>
      <c r="E242" s="138"/>
      <c r="F242" s="137">
        <v>-12009.11</v>
      </c>
      <c r="G242" s="137"/>
    </row>
    <row r="243" spans="2:7" ht="15" customHeight="1" x14ac:dyDescent="0.2">
      <c r="B243" s="109">
        <v>46202</v>
      </c>
      <c r="C243" s="110"/>
      <c r="D243" s="137">
        <v>-68</v>
      </c>
      <c r="E243" s="138"/>
      <c r="F243" s="137">
        <f>D86</f>
        <v>23008.06</v>
      </c>
      <c r="G243" s="137"/>
    </row>
    <row r="244" spans="2:7" ht="15" customHeight="1" x14ac:dyDescent="0.2">
      <c r="B244" s="116"/>
      <c r="C244" s="116"/>
      <c r="D244" s="143">
        <f>SUM(D242:D243)</f>
        <v>0</v>
      </c>
      <c r="E244" s="144">
        <f>IF(D244=0,0,-F244/D244)</f>
        <v>0</v>
      </c>
      <c r="F244" s="143">
        <f>SUM(F242:F243)</f>
        <v>10998.95</v>
      </c>
      <c r="G244" s="143"/>
    </row>
    <row r="247" spans="2:7" ht="15" customHeight="1" x14ac:dyDescent="0.25">
      <c r="B247" s="132" t="s">
        <v>238</v>
      </c>
      <c r="C247" t="s">
        <v>264</v>
      </c>
      <c r="D247" s="132" t="s">
        <v>240</v>
      </c>
      <c r="E247" s="132" t="s">
        <v>241</v>
      </c>
      <c r="F247" s="132" t="s">
        <v>242</v>
      </c>
      <c r="G247" s="132" t="s">
        <v>243</v>
      </c>
    </row>
    <row r="248" spans="2:7" ht="15" customHeight="1" x14ac:dyDescent="0.2">
      <c r="B248" s="109">
        <v>45870</v>
      </c>
      <c r="C248" s="110"/>
      <c r="D248" s="137">
        <v>115</v>
      </c>
      <c r="E248" s="138"/>
      <c r="F248" s="137">
        <v>-20142.16</v>
      </c>
      <c r="G248" s="137"/>
    </row>
    <row r="249" spans="2:7" ht="15" customHeight="1" x14ac:dyDescent="0.2">
      <c r="B249" s="109">
        <v>46141</v>
      </c>
      <c r="C249" s="110"/>
      <c r="D249" s="137">
        <v>-115</v>
      </c>
      <c r="E249" s="138"/>
      <c r="F249" s="137">
        <v>13797.29</v>
      </c>
      <c r="G249" s="137"/>
    </row>
    <row r="250" spans="2:7" ht="15" customHeight="1" x14ac:dyDescent="0.2">
      <c r="B250" s="116"/>
      <c r="C250" s="116"/>
      <c r="D250" s="143">
        <f>SUM(D248:D249)</f>
        <v>0</v>
      </c>
      <c r="E250" s="144">
        <v>175.14921739130435</v>
      </c>
      <c r="F250" s="143">
        <f>SUM(F248:F249)</f>
        <v>-6344.869999999999</v>
      </c>
      <c r="G250" s="143"/>
    </row>
    <row r="252" spans="2:7" ht="15" customHeight="1" x14ac:dyDescent="0.25">
      <c r="B252" s="132" t="s">
        <v>238</v>
      </c>
      <c r="C252" t="s">
        <v>265</v>
      </c>
      <c r="D252" s="132" t="s">
        <v>240</v>
      </c>
      <c r="E252" s="132" t="s">
        <v>241</v>
      </c>
      <c r="F252" s="132" t="s">
        <v>242</v>
      </c>
      <c r="G252" s="132" t="s">
        <v>243</v>
      </c>
    </row>
    <row r="253" spans="2:7" ht="15" customHeight="1" x14ac:dyDescent="0.2">
      <c r="B253" s="109" t="s">
        <v>266</v>
      </c>
      <c r="C253" s="110"/>
      <c r="D253" s="137">
        <v>95</v>
      </c>
      <c r="E253" s="138"/>
      <c r="F253" s="137">
        <f>D5</f>
        <v>-18534.54</v>
      </c>
      <c r="G253" s="137"/>
    </row>
    <row r="254" spans="2:7" ht="15" customHeight="1" x14ac:dyDescent="0.2">
      <c r="B254" s="315">
        <v>46196</v>
      </c>
      <c r="C254" s="116"/>
      <c r="D254" s="143">
        <v>-95</v>
      </c>
      <c r="E254" s="144">
        <f>-F254/D254</f>
        <v>340.81926315789474</v>
      </c>
      <c r="F254" s="143">
        <f>D80</f>
        <v>32377.83</v>
      </c>
      <c r="G254" s="143"/>
    </row>
    <row r="255" spans="2:7" ht="15" customHeight="1" x14ac:dyDescent="0.2">
      <c r="D255" s="120">
        <f>SUM(D253:D254)</f>
        <v>0</v>
      </c>
      <c r="E255" s="120">
        <f>IF(D255=0,0,-F255/D255)</f>
        <v>0</v>
      </c>
      <c r="F255" s="120">
        <f>SUM(F253:F254)</f>
        <v>13843.29</v>
      </c>
    </row>
    <row r="256" spans="2:7" ht="15" customHeight="1" x14ac:dyDescent="0.25">
      <c r="B256" s="132" t="s">
        <v>238</v>
      </c>
      <c r="C256" t="s">
        <v>267</v>
      </c>
      <c r="D256" s="132" t="s">
        <v>240</v>
      </c>
      <c r="E256" s="132" t="s">
        <v>241</v>
      </c>
      <c r="F256" s="132" t="s">
        <v>242</v>
      </c>
      <c r="G256" s="132" t="s">
        <v>243</v>
      </c>
    </row>
    <row r="257" spans="1:8" ht="15" customHeight="1" x14ac:dyDescent="0.2">
      <c r="B257" s="109" t="s">
        <v>268</v>
      </c>
      <c r="C257" s="110"/>
      <c r="D257" s="137">
        <v>190</v>
      </c>
      <c r="E257" s="138"/>
      <c r="F257" s="137">
        <f>D6</f>
        <v>-14555.72</v>
      </c>
      <c r="G257" s="137"/>
    </row>
    <row r="258" spans="1:8" ht="15" customHeight="1" x14ac:dyDescent="0.2">
      <c r="B258" s="315">
        <v>46196</v>
      </c>
      <c r="C258" s="116"/>
      <c r="D258" s="143">
        <v>-190</v>
      </c>
      <c r="E258" s="144">
        <f>-F258/D258</f>
        <v>159.45615789473683</v>
      </c>
      <c r="F258" s="143">
        <f>D81</f>
        <v>30296.67</v>
      </c>
      <c r="G258" s="143"/>
    </row>
    <row r="259" spans="1:8" ht="15" customHeight="1" x14ac:dyDescent="0.2">
      <c r="D259" s="120">
        <f>SUM(D257:D258)</f>
        <v>0</v>
      </c>
      <c r="E259" s="120">
        <f>IF(D259=0,0,-F259/D259)</f>
        <v>0</v>
      </c>
      <c r="F259" s="120">
        <f>SUM(F257:F258)</f>
        <v>15740.949999999999</v>
      </c>
    </row>
    <row r="260" spans="1:8" ht="15" customHeight="1" x14ac:dyDescent="0.25">
      <c r="B260" s="132" t="s">
        <v>238</v>
      </c>
      <c r="C260" t="s">
        <v>269</v>
      </c>
      <c r="D260" s="132" t="s">
        <v>240</v>
      </c>
      <c r="E260" s="132" t="s">
        <v>241</v>
      </c>
      <c r="F260" s="132" t="s">
        <v>242</v>
      </c>
      <c r="G260" s="132" t="s">
        <v>243</v>
      </c>
    </row>
    <row r="261" spans="1:8" ht="15" customHeight="1" x14ac:dyDescent="0.2">
      <c r="B261" s="109" t="s">
        <v>268</v>
      </c>
      <c r="C261" s="110"/>
      <c r="D261" s="137">
        <v>450</v>
      </c>
      <c r="E261" s="138"/>
      <c r="F261" s="137">
        <f>D9</f>
        <v>-24758.39</v>
      </c>
      <c r="G261" s="137"/>
      <c r="H261" s="120">
        <f>F261/D261</f>
        <v>-55.01864444444444</v>
      </c>
    </row>
    <row r="262" spans="1:8" ht="15" customHeight="1" x14ac:dyDescent="0.2">
      <c r="A262" s="234"/>
      <c r="B262" s="109">
        <v>46056</v>
      </c>
      <c r="C262" s="110"/>
      <c r="D262" s="137">
        <v>310</v>
      </c>
      <c r="E262" s="138"/>
      <c r="F262" s="137">
        <v>-15055</v>
      </c>
      <c r="G262" s="137"/>
    </row>
    <row r="263" spans="1:8" ht="15" customHeight="1" x14ac:dyDescent="0.2">
      <c r="A263" s="234"/>
      <c r="B263" s="109">
        <v>46142</v>
      </c>
      <c r="C263" s="110"/>
      <c r="D263" s="137">
        <v>-310</v>
      </c>
      <c r="E263" s="138"/>
      <c r="F263" s="137">
        <f>E53</f>
        <v>28575.360000000001</v>
      </c>
      <c r="G263" s="137"/>
    </row>
    <row r="264" spans="1:8" ht="15" customHeight="1" x14ac:dyDescent="0.2">
      <c r="A264" s="234"/>
      <c r="B264" s="109">
        <v>46149</v>
      </c>
      <c r="C264" s="110"/>
      <c r="D264" s="137">
        <v>-450</v>
      </c>
      <c r="E264" s="138"/>
      <c r="F264" s="137">
        <f>D60</f>
        <v>49513.61</v>
      </c>
      <c r="G264" s="137"/>
    </row>
    <row r="265" spans="1:8" ht="15" customHeight="1" x14ac:dyDescent="0.2">
      <c r="B265" s="116"/>
      <c r="C265" s="116"/>
      <c r="D265" s="143">
        <f>SUM(D261:D264)</f>
        <v>0</v>
      </c>
      <c r="E265" s="144">
        <f>IF(D265=0,0,-F265/D265)</f>
        <v>0</v>
      </c>
      <c r="F265" s="143">
        <f>SUM(F261:F264)</f>
        <v>38275.58</v>
      </c>
      <c r="G265" s="143"/>
    </row>
    <row r="267" spans="1:8" ht="15" customHeight="1" x14ac:dyDescent="0.25">
      <c r="B267" s="132" t="s">
        <v>238</v>
      </c>
      <c r="C267" t="s">
        <v>270</v>
      </c>
      <c r="D267" s="132" t="s">
        <v>240</v>
      </c>
      <c r="E267" s="132" t="s">
        <v>241</v>
      </c>
      <c r="F267" s="132" t="s">
        <v>242</v>
      </c>
      <c r="G267" s="132" t="s">
        <v>243</v>
      </c>
    </row>
    <row r="268" spans="1:8" ht="15" customHeight="1" x14ac:dyDescent="0.2">
      <c r="B268" s="109" t="s">
        <v>271</v>
      </c>
      <c r="C268" s="110"/>
      <c r="D268" s="137">
        <v>75</v>
      </c>
      <c r="E268" s="138"/>
      <c r="F268" s="137">
        <f>D10</f>
        <v>-25425.34</v>
      </c>
      <c r="G268" s="137"/>
    </row>
    <row r="269" spans="1:8" ht="15" customHeight="1" x14ac:dyDescent="0.2">
      <c r="B269" s="109">
        <v>46087</v>
      </c>
      <c r="C269" s="110"/>
      <c r="D269" s="137">
        <v>22</v>
      </c>
      <c r="E269" s="138"/>
      <c r="F269" s="137">
        <f>D29</f>
        <v>-15181.46</v>
      </c>
      <c r="G269" s="137"/>
    </row>
    <row r="270" spans="1:8" ht="15" customHeight="1" x14ac:dyDescent="0.2">
      <c r="B270" s="109">
        <v>46149</v>
      </c>
      <c r="C270" s="110"/>
      <c r="D270" s="137">
        <v>-97</v>
      </c>
      <c r="E270" s="138"/>
      <c r="F270" s="137">
        <f>D63</f>
        <v>88004.69</v>
      </c>
      <c r="G270" s="137"/>
    </row>
    <row r="271" spans="1:8" ht="15" customHeight="1" x14ac:dyDescent="0.2">
      <c r="B271" s="109">
        <v>46150</v>
      </c>
      <c r="C271" s="110"/>
      <c r="D271" s="137">
        <f>20</f>
        <v>20</v>
      </c>
      <c r="E271" s="138"/>
      <c r="F271" s="137">
        <f>E65</f>
        <v>-18240</v>
      </c>
      <c r="G271" s="137"/>
    </row>
    <row r="272" spans="1:8" ht="15" customHeight="1" x14ac:dyDescent="0.2">
      <c r="B272" s="116"/>
      <c r="C272" s="116"/>
      <c r="D272" s="143">
        <f>D271</f>
        <v>20</v>
      </c>
      <c r="E272" s="144">
        <f>-F272/D272</f>
        <v>912</v>
      </c>
      <c r="F272" s="143">
        <f>F271</f>
        <v>-18240</v>
      </c>
      <c r="G272" s="143"/>
    </row>
    <row r="274" spans="1:7" ht="15" customHeight="1" x14ac:dyDescent="0.25">
      <c r="B274" s="132" t="s">
        <v>238</v>
      </c>
      <c r="C274" t="s">
        <v>272</v>
      </c>
      <c r="D274" s="132" t="s">
        <v>240</v>
      </c>
      <c r="E274" s="132" t="s">
        <v>241</v>
      </c>
      <c r="F274" s="132" t="s">
        <v>242</v>
      </c>
      <c r="G274" s="132" t="s">
        <v>243</v>
      </c>
    </row>
    <row r="275" spans="1:7" ht="15" customHeight="1" x14ac:dyDescent="0.2">
      <c r="B275" s="109" t="s">
        <v>271</v>
      </c>
      <c r="C275" s="110"/>
      <c r="D275" s="137">
        <v>290</v>
      </c>
      <c r="E275" s="138"/>
      <c r="F275" s="137">
        <f>D11</f>
        <v>-20209.87</v>
      </c>
      <c r="G275" s="137"/>
    </row>
    <row r="276" spans="1:7" ht="15" customHeight="1" x14ac:dyDescent="0.2">
      <c r="B276" s="109">
        <v>46141</v>
      </c>
      <c r="C276" s="110"/>
      <c r="D276" s="137">
        <v>-290</v>
      </c>
      <c r="E276" s="138"/>
      <c r="F276" s="137">
        <v>18252.349999999999</v>
      </c>
      <c r="G276" s="137"/>
    </row>
    <row r="277" spans="1:7" ht="15" customHeight="1" x14ac:dyDescent="0.2">
      <c r="B277" s="116"/>
      <c r="C277" s="116"/>
      <c r="D277" s="143">
        <f>SUM(D275:D276)</f>
        <v>0</v>
      </c>
      <c r="E277" s="144">
        <f>IF(D277=0,0,-F277/D277)</f>
        <v>0</v>
      </c>
      <c r="F277" s="143">
        <f>SUM(F275:F276)</f>
        <v>-1957.5200000000004</v>
      </c>
      <c r="G277" s="143"/>
    </row>
    <row r="279" spans="1:7" ht="15" customHeight="1" x14ac:dyDescent="0.25">
      <c r="B279" s="132" t="s">
        <v>238</v>
      </c>
      <c r="C279" t="s">
        <v>273</v>
      </c>
      <c r="D279" s="132" t="s">
        <v>240</v>
      </c>
      <c r="E279" s="132" t="s">
        <v>241</v>
      </c>
      <c r="F279" s="132" t="s">
        <v>242</v>
      </c>
      <c r="G279" s="132" t="s">
        <v>243</v>
      </c>
    </row>
    <row r="280" spans="1:7" ht="15" customHeight="1" x14ac:dyDescent="0.2">
      <c r="B280" s="109" t="s">
        <v>271</v>
      </c>
      <c r="C280" s="110"/>
      <c r="D280" s="137">
        <v>75</v>
      </c>
      <c r="E280" s="138"/>
      <c r="F280" s="137">
        <f>D12</f>
        <v>-25653.06</v>
      </c>
      <c r="G280" s="137"/>
    </row>
    <row r="281" spans="1:7" ht="15" customHeight="1" x14ac:dyDescent="0.2">
      <c r="A281" s="234"/>
      <c r="B281" s="109">
        <v>46056</v>
      </c>
      <c r="C281" s="110"/>
      <c r="D281" s="137">
        <v>47</v>
      </c>
      <c r="E281" s="138"/>
      <c r="F281" s="137">
        <v>-14872</v>
      </c>
      <c r="G281" s="137"/>
    </row>
    <row r="282" spans="1:7" ht="15" customHeight="1" x14ac:dyDescent="0.2">
      <c r="A282" s="234"/>
      <c r="B282" s="109">
        <v>46142</v>
      </c>
      <c r="C282" s="110"/>
      <c r="D282" s="137">
        <v>-47</v>
      </c>
      <c r="E282" s="138"/>
      <c r="F282" s="137">
        <f>E54</f>
        <v>19296.599999999999</v>
      </c>
      <c r="G282" s="137"/>
    </row>
    <row r="283" spans="1:7" ht="15" customHeight="1" x14ac:dyDescent="0.2">
      <c r="B283" s="315">
        <v>46196</v>
      </c>
      <c r="C283" s="116"/>
      <c r="D283" s="143">
        <v>-75</v>
      </c>
      <c r="E283" s="144">
        <f>-F283/D283</f>
        <v>373.52466666666663</v>
      </c>
      <c r="F283" s="143">
        <f>D82</f>
        <v>28014.35</v>
      </c>
      <c r="G283" s="143"/>
    </row>
    <row r="284" spans="1:7" ht="15" customHeight="1" x14ac:dyDescent="0.2">
      <c r="D284" s="120">
        <f>SUM(D280:D283)</f>
        <v>0</v>
      </c>
      <c r="E284" s="120">
        <f>IF(D284=0,0,-F284/D284)</f>
        <v>0</v>
      </c>
      <c r="F284" s="120">
        <f>SUM(F280:F283)</f>
        <v>6785.8899999999994</v>
      </c>
    </row>
    <row r="285" spans="1:7" ht="15" customHeight="1" x14ac:dyDescent="0.25">
      <c r="B285" s="132" t="s">
        <v>238</v>
      </c>
      <c r="C285" t="s">
        <v>274</v>
      </c>
      <c r="D285" s="132" t="s">
        <v>240</v>
      </c>
      <c r="E285" s="132" t="s">
        <v>241</v>
      </c>
      <c r="F285" s="132" t="s">
        <v>242</v>
      </c>
      <c r="G285" s="132" t="s">
        <v>243</v>
      </c>
    </row>
    <row r="286" spans="1:7" ht="15" customHeight="1" x14ac:dyDescent="0.2">
      <c r="B286" s="109">
        <v>46056</v>
      </c>
      <c r="C286" s="110"/>
      <c r="D286" s="137">
        <v>120</v>
      </c>
      <c r="E286" s="138"/>
      <c r="F286" s="137">
        <v>-19940</v>
      </c>
      <c r="G286" s="137"/>
    </row>
    <row r="287" spans="1:7" ht="15" customHeight="1" x14ac:dyDescent="0.2">
      <c r="B287" s="109">
        <v>46057</v>
      </c>
      <c r="C287" s="110"/>
      <c r="D287" s="137">
        <v>110</v>
      </c>
      <c r="E287" s="138"/>
      <c r="F287" s="137">
        <f>D20</f>
        <v>-15310</v>
      </c>
      <c r="G287" s="137"/>
    </row>
    <row r="288" spans="1:7" ht="15" customHeight="1" x14ac:dyDescent="0.2">
      <c r="B288" s="109">
        <v>46142</v>
      </c>
      <c r="C288" s="110"/>
      <c r="D288" s="137">
        <v>-230</v>
      </c>
      <c r="E288" s="138"/>
      <c r="F288" s="137">
        <f>E52</f>
        <v>61631</v>
      </c>
      <c r="G288" s="137"/>
    </row>
    <row r="289" spans="2:7" ht="15" customHeight="1" x14ac:dyDescent="0.2">
      <c r="B289" s="116"/>
      <c r="C289" s="116"/>
      <c r="D289" s="143">
        <f>SUM(D286:D288)</f>
        <v>0</v>
      </c>
      <c r="E289" s="144">
        <f>IF(D289=0,0,-F289/D289)</f>
        <v>0</v>
      </c>
      <c r="F289" s="143">
        <f>SUM(F286:F288)</f>
        <v>26381</v>
      </c>
      <c r="G289" s="143"/>
    </row>
    <row r="291" spans="2:7" ht="15" customHeight="1" x14ac:dyDescent="0.25">
      <c r="B291" s="132" t="s">
        <v>238</v>
      </c>
      <c r="C291" t="s">
        <v>275</v>
      </c>
      <c r="D291" s="132" t="s">
        <v>240</v>
      </c>
      <c r="E291" s="132" t="s">
        <v>241</v>
      </c>
      <c r="F291" s="132" t="s">
        <v>242</v>
      </c>
      <c r="G291" s="132" t="s">
        <v>243</v>
      </c>
    </row>
    <row r="292" spans="2:7" ht="15" customHeight="1" x14ac:dyDescent="0.2">
      <c r="B292" s="109">
        <v>46056</v>
      </c>
      <c r="C292" s="110"/>
      <c r="D292" s="137">
        <v>70</v>
      </c>
      <c r="E292" s="138"/>
      <c r="F292" s="137">
        <v>-24664</v>
      </c>
      <c r="G292" s="137"/>
    </row>
    <row r="293" spans="2:7" ht="15" customHeight="1" x14ac:dyDescent="0.2">
      <c r="B293" s="109">
        <v>46142</v>
      </c>
      <c r="C293" s="110"/>
      <c r="D293" s="137">
        <v>-70</v>
      </c>
      <c r="E293" s="138"/>
      <c r="F293" s="137">
        <f>E51</f>
        <v>37209.43</v>
      </c>
      <c r="G293" s="137"/>
    </row>
    <row r="294" spans="2:7" ht="15" customHeight="1" x14ac:dyDescent="0.2">
      <c r="B294" s="116"/>
      <c r="C294" s="116"/>
      <c r="D294" s="143">
        <f>SUM(D292:D293)</f>
        <v>0</v>
      </c>
      <c r="E294" s="144">
        <f>IF(D294=0,0,-F294/D294)</f>
        <v>0</v>
      </c>
      <c r="F294" s="143">
        <f>SUM(F292:F293)</f>
        <v>12545.43</v>
      </c>
      <c r="G294" s="143"/>
    </row>
    <row r="296" spans="2:7" ht="15" customHeight="1" x14ac:dyDescent="0.25">
      <c r="B296" s="132" t="s">
        <v>238</v>
      </c>
      <c r="C296" t="s">
        <v>276</v>
      </c>
      <c r="D296" s="132" t="s">
        <v>240</v>
      </c>
      <c r="E296" s="132" t="s">
        <v>241</v>
      </c>
      <c r="F296" s="132" t="s">
        <v>242</v>
      </c>
      <c r="G296" s="132" t="s">
        <v>243</v>
      </c>
    </row>
    <row r="297" spans="2:7" ht="15" customHeight="1" x14ac:dyDescent="0.2">
      <c r="B297" s="109">
        <v>46057</v>
      </c>
      <c r="C297" s="110"/>
      <c r="D297" s="137">
        <v>3900</v>
      </c>
      <c r="E297" s="138"/>
      <c r="F297" s="137">
        <f>D19</f>
        <v>-10023</v>
      </c>
      <c r="G297" s="137"/>
    </row>
    <row r="298" spans="2:7" ht="15" customHeight="1" x14ac:dyDescent="0.2">
      <c r="B298" s="109">
        <v>46059</v>
      </c>
      <c r="C298" s="110"/>
      <c r="D298" s="137">
        <v>4150</v>
      </c>
      <c r="E298" s="138"/>
      <c r="F298" s="137">
        <f>D25</f>
        <v>-9960</v>
      </c>
      <c r="G298" s="137"/>
    </row>
    <row r="299" spans="2:7" ht="15" customHeight="1" x14ac:dyDescent="0.2">
      <c r="B299" s="109">
        <v>46142</v>
      </c>
      <c r="C299" s="110"/>
      <c r="D299" s="137">
        <v>-8050</v>
      </c>
      <c r="E299" s="138"/>
      <c r="F299" s="137">
        <f>E50</f>
        <v>29706.3</v>
      </c>
      <c r="G299" s="137"/>
    </row>
    <row r="300" spans="2:7" ht="15" customHeight="1" x14ac:dyDescent="0.2">
      <c r="B300" s="116"/>
      <c r="C300" s="116"/>
      <c r="D300" s="143">
        <f>SUM(D297:D299)</f>
        <v>0</v>
      </c>
      <c r="E300" s="144">
        <f>IF(D300=0,0,-F300/D300)</f>
        <v>0</v>
      </c>
      <c r="F300" s="143">
        <f>SUM(F297:F299)</f>
        <v>9723.2999999999993</v>
      </c>
      <c r="G300" s="143"/>
    </row>
    <row r="302" spans="2:7" ht="15" customHeight="1" x14ac:dyDescent="0.25">
      <c r="B302" s="132" t="s">
        <v>238</v>
      </c>
      <c r="C302" t="s">
        <v>277</v>
      </c>
      <c r="D302" s="132" t="s">
        <v>240</v>
      </c>
      <c r="E302" s="132" t="s">
        <v>241</v>
      </c>
      <c r="F302" s="132" t="s">
        <v>242</v>
      </c>
      <c r="G302" s="132" t="s">
        <v>243</v>
      </c>
    </row>
    <row r="303" spans="2:7" ht="15" customHeight="1" x14ac:dyDescent="0.2">
      <c r="B303" s="109">
        <v>46057</v>
      </c>
      <c r="C303" s="110"/>
      <c r="D303" s="137">
        <v>150</v>
      </c>
      <c r="E303" s="138"/>
      <c r="F303" s="137">
        <f>D21</f>
        <v>-30280.76</v>
      </c>
      <c r="G303" s="137"/>
    </row>
    <row r="304" spans="2:7" ht="15" customHeight="1" x14ac:dyDescent="0.2">
      <c r="B304" s="109">
        <v>46149</v>
      </c>
      <c r="C304" s="110"/>
      <c r="D304" s="137">
        <v>-150</v>
      </c>
      <c r="E304" s="138"/>
      <c r="F304" s="137">
        <f>D61</f>
        <v>43661.78</v>
      </c>
      <c r="G304" s="137"/>
    </row>
    <row r="305" spans="2:7" ht="15" customHeight="1" x14ac:dyDescent="0.2">
      <c r="B305" s="116"/>
      <c r="C305" s="116"/>
      <c r="D305" s="143">
        <f>SUM(D303:D304)</f>
        <v>0</v>
      </c>
      <c r="E305" s="144">
        <f>IF(D305=0,0,-F305/D305)</f>
        <v>0</v>
      </c>
      <c r="F305" s="143">
        <f>F303</f>
        <v>-30280.76</v>
      </c>
      <c r="G305" s="143"/>
    </row>
    <row r="307" spans="2:7" ht="15" customHeight="1" x14ac:dyDescent="0.25">
      <c r="B307" s="132" t="s">
        <v>238</v>
      </c>
      <c r="C307" t="s">
        <v>278</v>
      </c>
      <c r="D307" s="132" t="s">
        <v>240</v>
      </c>
      <c r="E307" s="132" t="s">
        <v>241</v>
      </c>
      <c r="F307" s="132" t="s">
        <v>242</v>
      </c>
      <c r="G307" s="132" t="s">
        <v>243</v>
      </c>
    </row>
    <row r="308" spans="2:7" ht="15" customHeight="1" x14ac:dyDescent="0.2">
      <c r="B308" s="109">
        <v>46057</v>
      </c>
      <c r="C308" s="110"/>
      <c r="D308" s="137">
        <v>65</v>
      </c>
      <c r="E308" s="138"/>
      <c r="F308" s="137">
        <f>D22</f>
        <v>-29238.7</v>
      </c>
      <c r="G308" s="137"/>
    </row>
    <row r="309" spans="2:7" ht="15" customHeight="1" x14ac:dyDescent="0.2">
      <c r="B309" s="109">
        <v>46079</v>
      </c>
      <c r="C309" s="110"/>
      <c r="D309" s="137">
        <v>-65</v>
      </c>
      <c r="E309" s="138"/>
      <c r="F309" s="137">
        <f>E28</f>
        <v>29474.62</v>
      </c>
      <c r="G309" s="137"/>
    </row>
    <row r="310" spans="2:7" ht="15" customHeight="1" x14ac:dyDescent="0.2">
      <c r="B310" s="116"/>
      <c r="C310" s="116"/>
      <c r="D310" s="143">
        <f>SUM(D308:D309)</f>
        <v>0</v>
      </c>
      <c r="E310" s="144">
        <f>IF(D310=0,0,-F310/D310)</f>
        <v>0</v>
      </c>
      <c r="F310" s="143">
        <f>SUM(F308:F309)</f>
        <v>235.91999999999825</v>
      </c>
      <c r="G310" s="143"/>
    </row>
    <row r="312" spans="2:7" ht="15" customHeight="1" x14ac:dyDescent="0.25">
      <c r="B312" s="132" t="s">
        <v>238</v>
      </c>
      <c r="C312" t="s">
        <v>279</v>
      </c>
      <c r="D312" s="132" t="s">
        <v>240</v>
      </c>
      <c r="E312" s="132" t="s">
        <v>241</v>
      </c>
      <c r="F312" s="132" t="s">
        <v>242</v>
      </c>
      <c r="G312" s="132" t="s">
        <v>243</v>
      </c>
    </row>
    <row r="313" spans="2:7" ht="15" customHeight="1" x14ac:dyDescent="0.2">
      <c r="B313" s="109">
        <v>46057</v>
      </c>
      <c r="C313" s="110"/>
      <c r="D313" s="137">
        <v>95</v>
      </c>
      <c r="E313" s="138"/>
      <c r="F313" s="137">
        <v>-27237.72</v>
      </c>
      <c r="G313" s="137"/>
    </row>
    <row r="314" spans="2:7" ht="15" customHeight="1" x14ac:dyDescent="0.2">
      <c r="B314" s="109">
        <v>46149</v>
      </c>
      <c r="C314" s="110"/>
      <c r="D314" s="137">
        <v>-95</v>
      </c>
      <c r="E314" s="138"/>
      <c r="F314" s="137">
        <f>D62</f>
        <v>53336.68</v>
      </c>
      <c r="G314" s="137"/>
    </row>
    <row r="315" spans="2:7" ht="15" customHeight="1" x14ac:dyDescent="0.2">
      <c r="B315" s="109">
        <v>46150</v>
      </c>
      <c r="C315" s="110"/>
      <c r="D315" s="137">
        <v>37</v>
      </c>
      <c r="E315" s="138"/>
      <c r="F315" s="137">
        <f>E66</f>
        <v>-20094</v>
      </c>
      <c r="G315" s="137"/>
    </row>
    <row r="316" spans="2:7" ht="15" customHeight="1" x14ac:dyDescent="0.2">
      <c r="B316" s="116"/>
      <c r="C316" s="116"/>
      <c r="D316" s="143">
        <f>D315</f>
        <v>37</v>
      </c>
      <c r="E316" s="144">
        <f>-F316/D316</f>
        <v>543.08108108108104</v>
      </c>
      <c r="F316" s="143">
        <f>F315</f>
        <v>-20094</v>
      </c>
      <c r="G316" s="143"/>
    </row>
    <row r="318" spans="2:7" ht="15" customHeight="1" x14ac:dyDescent="0.25">
      <c r="B318" s="132" t="s">
        <v>238</v>
      </c>
      <c r="C318" t="s">
        <v>280</v>
      </c>
      <c r="D318" s="132" t="s">
        <v>240</v>
      </c>
      <c r="E318" s="132" t="s">
        <v>241</v>
      </c>
      <c r="F318" s="132" t="s">
        <v>242</v>
      </c>
      <c r="G318" s="132" t="s">
        <v>243</v>
      </c>
    </row>
    <row r="319" spans="2:7" ht="15" customHeight="1" x14ac:dyDescent="0.2">
      <c r="B319" s="109">
        <v>46057</v>
      </c>
      <c r="C319" s="110"/>
      <c r="D319" s="137">
        <v>750</v>
      </c>
      <c r="E319" s="138"/>
      <c r="F319" s="137">
        <v>-49550.03</v>
      </c>
      <c r="G319" s="137"/>
    </row>
    <row r="320" spans="2:7" ht="15" customHeight="1" x14ac:dyDescent="0.2">
      <c r="B320" s="109">
        <v>46149</v>
      </c>
      <c r="C320" s="110"/>
      <c r="D320" s="137">
        <v>-750</v>
      </c>
      <c r="E320" s="138"/>
      <c r="F320" s="137">
        <f>D59</f>
        <v>134493.24</v>
      </c>
      <c r="G320" s="137"/>
    </row>
    <row r="321" spans="2:7" ht="15" customHeight="1" x14ac:dyDescent="0.2">
      <c r="B321" s="116"/>
      <c r="C321" s="116"/>
      <c r="D321" s="143">
        <f>SUM(D319:D320)</f>
        <v>0</v>
      </c>
      <c r="E321" s="144">
        <f>IF(D321=0,0,-F321/D321)</f>
        <v>0</v>
      </c>
      <c r="F321" s="143">
        <f>SUM(F319:F320)</f>
        <v>84943.209999999992</v>
      </c>
      <c r="G321" s="143"/>
    </row>
    <row r="323" spans="2:7" ht="15" customHeight="1" x14ac:dyDescent="0.25">
      <c r="B323" s="132" t="s">
        <v>238</v>
      </c>
      <c r="C323" t="s">
        <v>281</v>
      </c>
      <c r="D323" s="132" t="s">
        <v>240</v>
      </c>
      <c r="E323" s="132" t="s">
        <v>241</v>
      </c>
      <c r="F323" s="132" t="s">
        <v>242</v>
      </c>
      <c r="G323" s="132" t="s">
        <v>243</v>
      </c>
    </row>
    <row r="324" spans="2:7" ht="15" customHeight="1" x14ac:dyDescent="0.2">
      <c r="B324" s="109">
        <v>46057</v>
      </c>
      <c r="C324" s="110"/>
      <c r="D324" s="137">
        <v>500</v>
      </c>
      <c r="E324" s="138"/>
      <c r="F324" s="137">
        <f>D33</f>
        <v>-17698.490000000002</v>
      </c>
      <c r="G324" s="137"/>
    </row>
    <row r="325" spans="2:7" ht="15" customHeight="1" x14ac:dyDescent="0.2">
      <c r="B325" s="109">
        <v>46099</v>
      </c>
      <c r="C325" s="110"/>
      <c r="D325" s="137">
        <v>-500</v>
      </c>
      <c r="E325" s="138"/>
      <c r="F325" s="137">
        <f>E34</f>
        <v>13737.26</v>
      </c>
      <c r="G325" s="137"/>
    </row>
    <row r="326" spans="2:7" ht="15" customHeight="1" x14ac:dyDescent="0.2">
      <c r="B326" s="116"/>
      <c r="C326" s="116"/>
      <c r="D326" s="143">
        <f>SUM(D324:D325)</f>
        <v>0</v>
      </c>
      <c r="E326" s="144">
        <f>IF(D326=0,0,-F326/D326)</f>
        <v>0</v>
      </c>
      <c r="F326" s="143">
        <f>SUM(F324:F325)</f>
        <v>-3961.2300000000014</v>
      </c>
      <c r="G326" s="143"/>
    </row>
    <row r="328" spans="2:7" ht="15" customHeight="1" x14ac:dyDescent="0.25">
      <c r="B328" s="132" t="s">
        <v>238</v>
      </c>
      <c r="C328" t="s">
        <v>282</v>
      </c>
      <c r="D328" s="132" t="s">
        <v>240</v>
      </c>
      <c r="E328" s="132" t="s">
        <v>241</v>
      </c>
      <c r="F328" s="132" t="s">
        <v>242</v>
      </c>
      <c r="G328" s="132" t="s">
        <v>243</v>
      </c>
    </row>
    <row r="329" spans="2:7" ht="15" customHeight="1" x14ac:dyDescent="0.2">
      <c r="B329" s="109">
        <v>46142</v>
      </c>
      <c r="C329" s="110"/>
      <c r="D329" s="137">
        <v>1450</v>
      </c>
      <c r="E329" s="138"/>
      <c r="F329" s="137">
        <f>D49</f>
        <v>-27139.75</v>
      </c>
      <c r="G329" s="137"/>
    </row>
    <row r="330" spans="2:7" ht="15" customHeight="1" x14ac:dyDescent="0.2">
      <c r="B330" s="109">
        <v>46197</v>
      </c>
      <c r="C330" s="110"/>
      <c r="D330" s="137">
        <v>-1450</v>
      </c>
      <c r="E330" s="138"/>
      <c r="F330" s="137">
        <f>D83</f>
        <v>28382.79</v>
      </c>
      <c r="G330" s="137"/>
    </row>
    <row r="331" spans="2:7" ht="15" customHeight="1" x14ac:dyDescent="0.2">
      <c r="B331" s="116"/>
      <c r="C331" s="116"/>
      <c r="D331" s="143">
        <f>SUM(D329:D330)</f>
        <v>0</v>
      </c>
      <c r="E331" s="144">
        <f>IF(D331=0,0,-F331/D331)</f>
        <v>0</v>
      </c>
      <c r="F331" s="143">
        <f>SUM(F329:F330)</f>
        <v>1243.0400000000009</v>
      </c>
      <c r="G331" s="143"/>
    </row>
    <row r="333" spans="2:7" ht="15" customHeight="1" x14ac:dyDescent="0.25">
      <c r="B333" s="132" t="s">
        <v>238</v>
      </c>
      <c r="C333" t="s">
        <v>32</v>
      </c>
      <c r="D333" s="132" t="s">
        <v>240</v>
      </c>
      <c r="E333" s="132" t="s">
        <v>241</v>
      </c>
      <c r="F333" s="132" t="s">
        <v>242</v>
      </c>
      <c r="G333" s="132" t="s">
        <v>243</v>
      </c>
    </row>
    <row r="334" spans="2:7" ht="15" customHeight="1" x14ac:dyDescent="0.2">
      <c r="B334" s="109">
        <v>46143</v>
      </c>
      <c r="C334" s="110"/>
      <c r="D334" s="137">
        <v>800</v>
      </c>
      <c r="E334" s="138"/>
      <c r="F334" s="137">
        <f>D55</f>
        <v>-34400</v>
      </c>
      <c r="G334" s="137"/>
    </row>
    <row r="335" spans="2:7" ht="15" customHeight="1" x14ac:dyDescent="0.2">
      <c r="B335" s="109">
        <v>46150</v>
      </c>
      <c r="C335" s="110"/>
      <c r="D335" s="137">
        <v>310</v>
      </c>
      <c r="E335" s="138"/>
      <c r="F335" s="137">
        <f>E67</f>
        <v>-14858</v>
      </c>
      <c r="G335" s="137"/>
    </row>
    <row r="336" spans="2:7" ht="15" customHeight="1" x14ac:dyDescent="0.2">
      <c r="B336" s="116"/>
      <c r="C336" s="116"/>
      <c r="D336" s="143">
        <f>SUM(D334:D335)</f>
        <v>1110</v>
      </c>
      <c r="E336" s="144">
        <f>-F336/D336</f>
        <v>44.376576576576575</v>
      </c>
      <c r="F336" s="143">
        <f>SUM(F334:F335)</f>
        <v>-49258</v>
      </c>
      <c r="G336" s="143"/>
    </row>
    <row r="338" spans="2:7" ht="15" customHeight="1" x14ac:dyDescent="0.25">
      <c r="B338" s="132" t="s">
        <v>238</v>
      </c>
      <c r="C338" t="s">
        <v>283</v>
      </c>
      <c r="D338" s="132" t="s">
        <v>240</v>
      </c>
      <c r="E338" s="132" t="s">
        <v>241</v>
      </c>
      <c r="F338" s="132" t="s">
        <v>242</v>
      </c>
      <c r="G338" s="132" t="s">
        <v>243</v>
      </c>
    </row>
    <row r="339" spans="2:7" ht="15" customHeight="1" x14ac:dyDescent="0.2">
      <c r="B339" s="109">
        <v>46143</v>
      </c>
      <c r="C339" s="110"/>
      <c r="D339" s="137">
        <v>1000</v>
      </c>
      <c r="E339" s="138"/>
      <c r="F339" s="137">
        <f>D56</f>
        <v>-30940</v>
      </c>
      <c r="G339" s="137"/>
    </row>
    <row r="340" spans="2:7" ht="15" customHeight="1" x14ac:dyDescent="0.2">
      <c r="B340" s="109">
        <v>46147</v>
      </c>
      <c r="C340" s="110"/>
      <c r="D340" s="137">
        <v>-1000</v>
      </c>
      <c r="E340" s="138"/>
      <c r="F340" s="137">
        <f>E58</f>
        <v>39229.15</v>
      </c>
      <c r="G340" s="137"/>
    </row>
    <row r="341" spans="2:7" ht="15" customHeight="1" x14ac:dyDescent="0.2">
      <c r="B341" s="109">
        <v>46155</v>
      </c>
      <c r="C341" s="110"/>
      <c r="D341" s="137">
        <v>600</v>
      </c>
      <c r="E341" s="138"/>
      <c r="F341" s="137">
        <f>E76</f>
        <v>-42513.86</v>
      </c>
      <c r="G341" s="137"/>
    </row>
    <row r="342" spans="2:7" ht="15" customHeight="1" x14ac:dyDescent="0.2">
      <c r="B342" s="116"/>
      <c r="C342" s="116"/>
      <c r="D342" s="143">
        <f>D341</f>
        <v>600</v>
      </c>
      <c r="E342" s="144">
        <f>-F342/D342</f>
        <v>70.856433333333328</v>
      </c>
      <c r="F342" s="143">
        <f>F341</f>
        <v>-42513.86</v>
      </c>
      <c r="G342" s="143"/>
    </row>
    <row r="344" spans="2:7" ht="15" customHeight="1" x14ac:dyDescent="0.25">
      <c r="B344" s="132" t="s">
        <v>238</v>
      </c>
      <c r="C344" t="s">
        <v>23</v>
      </c>
      <c r="D344" s="132" t="s">
        <v>240</v>
      </c>
      <c r="E344" s="132" t="s">
        <v>241</v>
      </c>
      <c r="F344" s="132" t="s">
        <v>242</v>
      </c>
      <c r="G344" s="132" t="s">
        <v>243</v>
      </c>
    </row>
    <row r="345" spans="2:7" ht="15" customHeight="1" x14ac:dyDescent="0.2">
      <c r="B345" s="109">
        <v>46143</v>
      </c>
      <c r="C345" s="110"/>
      <c r="D345" s="137">
        <v>600</v>
      </c>
      <c r="E345" s="138"/>
      <c r="F345" s="137">
        <f>D57</f>
        <v>-69985</v>
      </c>
      <c r="G345" s="137"/>
    </row>
    <row r="346" spans="2:7" ht="15" customHeight="1" x14ac:dyDescent="0.2">
      <c r="B346" s="109">
        <v>46153</v>
      </c>
      <c r="C346" s="110"/>
      <c r="D346" s="137">
        <v>-600</v>
      </c>
      <c r="E346" s="138"/>
      <c r="F346" s="137">
        <f>D68</f>
        <v>69971.55</v>
      </c>
      <c r="G346" s="137"/>
    </row>
    <row r="347" spans="2:7" ht="15" customHeight="1" x14ac:dyDescent="0.2">
      <c r="B347" s="109">
        <v>46153</v>
      </c>
      <c r="C347" s="110"/>
      <c r="D347" s="137">
        <v>2000</v>
      </c>
      <c r="E347" s="138"/>
      <c r="F347" s="137">
        <f>E71</f>
        <v>-234505.77</v>
      </c>
      <c r="G347" s="137"/>
    </row>
    <row r="348" spans="2:7" ht="15" customHeight="1" x14ac:dyDescent="0.2">
      <c r="B348" s="109">
        <v>46153</v>
      </c>
      <c r="C348" s="110"/>
      <c r="D348" s="137">
        <v>430</v>
      </c>
      <c r="E348" s="138"/>
      <c r="F348" s="137">
        <f>E74</f>
        <v>-50612.97</v>
      </c>
      <c r="G348" s="137"/>
    </row>
    <row r="349" spans="2:7" ht="15" customHeight="1" x14ac:dyDescent="0.2">
      <c r="B349" s="116"/>
      <c r="C349" s="116"/>
      <c r="D349" s="143">
        <f>D347+D348</f>
        <v>2430</v>
      </c>
      <c r="E349" s="144">
        <f>-F349/D349</f>
        <v>117.33281481481481</v>
      </c>
      <c r="F349" s="143">
        <f>F347+F348</f>
        <v>-285118.74</v>
      </c>
      <c r="G349" s="143"/>
    </row>
    <row r="351" spans="2:7" ht="15" customHeight="1" x14ac:dyDescent="0.25">
      <c r="B351" s="132" t="s">
        <v>238</v>
      </c>
      <c r="C351" t="s">
        <v>284</v>
      </c>
      <c r="D351" s="132" t="s">
        <v>240</v>
      </c>
      <c r="E351" s="132" t="s">
        <v>241</v>
      </c>
      <c r="F351" s="132" t="s">
        <v>242</v>
      </c>
      <c r="G351" s="132" t="s">
        <v>243</v>
      </c>
    </row>
    <row r="352" spans="2:7" ht="15" customHeight="1" x14ac:dyDescent="0.2">
      <c r="B352" s="109">
        <v>46149</v>
      </c>
      <c r="C352" s="110"/>
      <c r="D352" s="137">
        <v>240</v>
      </c>
      <c r="E352" s="138"/>
      <c r="F352" s="137">
        <f>E64</f>
        <v>-24400</v>
      </c>
      <c r="G352" s="137"/>
    </row>
    <row r="353" spans="2:7" ht="15" customHeight="1" x14ac:dyDescent="0.2">
      <c r="B353" s="109"/>
      <c r="C353" s="110"/>
      <c r="D353" s="137"/>
      <c r="E353" s="138"/>
      <c r="F353" s="137"/>
      <c r="G353" s="137"/>
    </row>
    <row r="354" spans="2:7" ht="15" customHeight="1" x14ac:dyDescent="0.2">
      <c r="B354" s="116"/>
      <c r="C354" s="116"/>
      <c r="D354" s="143">
        <f>SUM(D352:D353)</f>
        <v>240</v>
      </c>
      <c r="E354" s="144">
        <f>-F354/D354</f>
        <v>101.66666666666667</v>
      </c>
      <c r="F354" s="143">
        <f>SUM(F352:F353)</f>
        <v>-24400</v>
      </c>
      <c r="G354" s="143"/>
    </row>
    <row r="356" spans="2:7" ht="15" customHeight="1" x14ac:dyDescent="0.25">
      <c r="B356" s="132" t="s">
        <v>238</v>
      </c>
      <c r="C356" t="s">
        <v>285</v>
      </c>
      <c r="D356" s="132" t="s">
        <v>240</v>
      </c>
      <c r="E356" s="132" t="s">
        <v>241</v>
      </c>
      <c r="F356" s="132" t="s">
        <v>242</v>
      </c>
      <c r="G356" s="132" t="s">
        <v>243</v>
      </c>
    </row>
    <row r="357" spans="2:7" ht="15" customHeight="1" x14ac:dyDescent="0.2">
      <c r="B357" s="109">
        <v>46149</v>
      </c>
      <c r="C357" s="110"/>
      <c r="D357" s="137">
        <v>100</v>
      </c>
      <c r="E357" s="138"/>
      <c r="F357" s="137">
        <f>E69</f>
        <v>-29569</v>
      </c>
      <c r="G357" s="137"/>
    </row>
    <row r="358" spans="2:7" ht="15" customHeight="1" x14ac:dyDescent="0.2">
      <c r="B358" s="109">
        <v>46155</v>
      </c>
      <c r="C358" s="110"/>
      <c r="D358" s="137">
        <v>30</v>
      </c>
      <c r="E358" s="138"/>
      <c r="F358" s="137">
        <f>E73</f>
        <v>-9164</v>
      </c>
      <c r="G358" s="137"/>
    </row>
    <row r="359" spans="2:7" ht="15" customHeight="1" x14ac:dyDescent="0.2">
      <c r="B359" s="116"/>
      <c r="C359" s="116"/>
      <c r="D359" s="143">
        <f>SUM(D357:D358)</f>
        <v>130</v>
      </c>
      <c r="E359" s="144">
        <f>-F359/D359</f>
        <v>297.94615384615383</v>
      </c>
      <c r="F359" s="143">
        <f>SUM(F357:F358)</f>
        <v>-38733</v>
      </c>
      <c r="G359" s="143"/>
    </row>
    <row r="361" spans="2:7" ht="15" customHeight="1" x14ac:dyDescent="0.25">
      <c r="B361" s="132" t="s">
        <v>238</v>
      </c>
      <c r="C361" t="s">
        <v>286</v>
      </c>
      <c r="D361" s="132" t="s">
        <v>240</v>
      </c>
      <c r="E361" s="132" t="s">
        <v>241</v>
      </c>
      <c r="F361" s="132" t="s">
        <v>242</v>
      </c>
      <c r="G361" s="132" t="s">
        <v>243</v>
      </c>
    </row>
    <row r="362" spans="2:7" ht="15" customHeight="1" x14ac:dyDescent="0.2">
      <c r="B362" s="109">
        <v>46149</v>
      </c>
      <c r="C362" s="110"/>
      <c r="D362" s="137">
        <v>500</v>
      </c>
      <c r="E362" s="138"/>
      <c r="F362" s="137">
        <f>E70</f>
        <v>-29545</v>
      </c>
      <c r="G362" s="137"/>
    </row>
    <row r="363" spans="2:7" ht="15" customHeight="1" x14ac:dyDescent="0.2">
      <c r="B363" s="109">
        <v>46199</v>
      </c>
      <c r="C363" s="110"/>
      <c r="D363" s="137">
        <v>-500</v>
      </c>
      <c r="E363" s="138"/>
      <c r="F363" s="137">
        <f>D84</f>
        <v>35674.26</v>
      </c>
      <c r="G363" s="137"/>
    </row>
    <row r="364" spans="2:7" ht="15" customHeight="1" x14ac:dyDescent="0.2">
      <c r="B364" s="116"/>
      <c r="C364" s="116"/>
      <c r="D364" s="143">
        <f>SUM(D362:D363)</f>
        <v>0</v>
      </c>
      <c r="E364" s="144">
        <f>IF(D364=0,0,-F364/D364)</f>
        <v>0</v>
      </c>
      <c r="F364" s="143">
        <f>SUM(F362:F363)</f>
        <v>6129.260000000002</v>
      </c>
      <c r="G364" s="143"/>
    </row>
    <row r="366" spans="2:7" ht="15" customHeight="1" x14ac:dyDescent="0.25">
      <c r="B366" s="132" t="s">
        <v>238</v>
      </c>
      <c r="C366" t="s">
        <v>287</v>
      </c>
      <c r="D366" s="132" t="s">
        <v>240</v>
      </c>
      <c r="E366" s="132" t="s">
        <v>241</v>
      </c>
      <c r="F366" s="132" t="s">
        <v>242</v>
      </c>
      <c r="G366" s="132" t="s">
        <v>288</v>
      </c>
    </row>
    <row r="367" spans="2:7" ht="15" customHeight="1" x14ac:dyDescent="0.2">
      <c r="B367" s="109">
        <v>46149</v>
      </c>
      <c r="C367" s="110"/>
      <c r="D367" s="137">
        <v>600</v>
      </c>
      <c r="E367" s="138"/>
      <c r="F367" s="137">
        <f>E72</f>
        <v>-43852.65</v>
      </c>
      <c r="G367" s="137"/>
    </row>
    <row r="368" spans="2:7" ht="15" customHeight="1" x14ac:dyDescent="0.2">
      <c r="B368" s="316">
        <v>46196</v>
      </c>
      <c r="C368" s="110"/>
      <c r="D368" s="137">
        <v>-600</v>
      </c>
      <c r="E368" s="138"/>
      <c r="F368" s="137">
        <f>D79</f>
        <v>55751.11</v>
      </c>
      <c r="G368" s="137"/>
    </row>
    <row r="369" spans="2:7" ht="15" customHeight="1" x14ac:dyDescent="0.2">
      <c r="B369" s="116"/>
      <c r="C369" s="116"/>
      <c r="D369" s="143">
        <f>SUM(D367:D368)</f>
        <v>0</v>
      </c>
      <c r="E369" s="144">
        <f>IF(D369=0,0,-F369/D369)</f>
        <v>0</v>
      </c>
      <c r="F369" s="143">
        <f>SUM(F367:F368)</f>
        <v>11898.46</v>
      </c>
      <c r="G369" s="310">
        <f>IF(D369=0,0,E369/1.1717)</f>
        <v>0</v>
      </c>
    </row>
    <row r="371" spans="2:7" ht="15" customHeight="1" x14ac:dyDescent="0.25">
      <c r="B371" s="132" t="s">
        <v>238</v>
      </c>
      <c r="C371" t="s">
        <v>289</v>
      </c>
      <c r="D371" s="132" t="s">
        <v>240</v>
      </c>
      <c r="E371" s="132" t="s">
        <v>241</v>
      </c>
      <c r="F371" s="132" t="s">
        <v>242</v>
      </c>
      <c r="G371" s="132" t="s">
        <v>288</v>
      </c>
    </row>
    <row r="372" spans="2:7" ht="15" customHeight="1" x14ac:dyDescent="0.2">
      <c r="B372" s="109">
        <v>46149</v>
      </c>
      <c r="C372" s="110"/>
      <c r="D372" s="137">
        <v>3500</v>
      </c>
      <c r="E372" s="138"/>
      <c r="F372" s="137">
        <f>E75</f>
        <v>-31076.400000000001</v>
      </c>
      <c r="G372" s="137"/>
    </row>
    <row r="373" spans="2:7" ht="15" customHeight="1" x14ac:dyDescent="0.2">
      <c r="B373" s="109"/>
      <c r="C373" s="110"/>
      <c r="D373" s="137"/>
      <c r="E373" s="138"/>
      <c r="F373" s="137"/>
      <c r="G373" s="137"/>
    </row>
    <row r="374" spans="2:7" ht="15" customHeight="1" x14ac:dyDescent="0.2">
      <c r="B374" s="116"/>
      <c r="C374" s="116"/>
      <c r="D374" s="143">
        <f>SUM(D372:D373)</f>
        <v>3500</v>
      </c>
      <c r="E374" s="144">
        <f>-F374/D374</f>
        <v>8.878971428571429</v>
      </c>
      <c r="F374" s="143">
        <f>SUM(F372:F373)</f>
        <v>-31076.400000000001</v>
      </c>
      <c r="G374" s="310"/>
    </row>
    <row r="376" spans="2:7" ht="15" customHeight="1" x14ac:dyDescent="0.25">
      <c r="B376" s="132" t="s">
        <v>238</v>
      </c>
      <c r="C376" t="s">
        <v>290</v>
      </c>
      <c r="D376" s="132" t="s">
        <v>240</v>
      </c>
      <c r="E376" s="132" t="s">
        <v>241</v>
      </c>
      <c r="F376" s="132" t="s">
        <v>242</v>
      </c>
      <c r="G376" s="132" t="s">
        <v>243</v>
      </c>
    </row>
    <row r="377" spans="2:7" ht="15" customHeight="1" x14ac:dyDescent="0.2">
      <c r="B377" s="109">
        <v>46227</v>
      </c>
      <c r="C377" s="110"/>
      <c r="D377" s="137">
        <v>1200</v>
      </c>
      <c r="E377" s="138"/>
      <c r="F377" s="137">
        <f>D101</f>
        <v>-242099.47</v>
      </c>
      <c r="G377" s="137"/>
    </row>
    <row r="378" spans="2:7" ht="15" customHeight="1" x14ac:dyDescent="0.2">
      <c r="B378" s="109"/>
      <c r="C378" s="110"/>
      <c r="D378" s="137"/>
      <c r="E378" s="138"/>
      <c r="F378" s="137"/>
      <c r="G378" s="137"/>
    </row>
    <row r="379" spans="2:7" ht="15" customHeight="1" x14ac:dyDescent="0.2">
      <c r="B379" s="116"/>
      <c r="C379" s="116"/>
      <c r="D379" s="143">
        <f>SUM(D377:D378)</f>
        <v>1200</v>
      </c>
      <c r="E379" s="144">
        <f>IF(D379=0,0,-F379/D379)</f>
        <v>201.74955833333334</v>
      </c>
      <c r="F379" s="143">
        <f>SUM(F377:F378)</f>
        <v>-242099.47</v>
      </c>
      <c r="G379" s="310"/>
    </row>
  </sheetData>
  <hyperlinks>
    <hyperlink ref="J4" location="Ledger!C51" display="ITB" xr:uid="{007E0F28-8210-4978-A440-E43D9A26256C}"/>
    <hyperlink ref="J5" location="Ledger!C55" display="IXC" xr:uid="{D602C1C9-FB43-493D-955D-954B27AB384D}"/>
    <hyperlink ref="J6" location="Ledger!C59" display="IDEV" xr:uid="{61A0A065-F88E-4185-8217-17C18707C8DB}"/>
    <hyperlink ref="J7" location="Ledger!C87" display="QQQ" xr:uid="{7F6FD878-1275-45D4-ABD8-EC735EFFDF0D}"/>
    <hyperlink ref="J8" location="Ledger!C91" display="MSFT" xr:uid="{509A627F-0AF6-49AB-B69D-9CF60E8E6D48}"/>
    <hyperlink ref="J10" location="Ledger!C107" display="VOT" xr:uid="{9CE210EB-81ED-437E-9D0F-14C9114A790E}"/>
    <hyperlink ref="J11" location="Ledger!C111" display="VTV" xr:uid="{5249808C-E7FE-4AEC-BD5F-2260BEDABE96}"/>
    <hyperlink ref="J13" location="Ledger!C131" display="JEPQ" xr:uid="{AE06CB09-E3AC-4073-A149-1AD7DD547869}"/>
  </hyperlinks>
  <pageMargins left="0.7" right="0.7" top="0.75" bottom="0.75" header="0.3" footer="0.3"/>
  <pageSetup paperSize="8"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C4F96-F9D6-4387-A1AE-B3FA64E2C493}">
  <dimension ref="A1:K66"/>
  <sheetViews>
    <sheetView topLeftCell="B1" zoomScale="115" zoomScaleNormal="115" workbookViewId="0">
      <pane ySplit="3" topLeftCell="A43" activePane="bottomLeft" state="frozen"/>
      <selection activeCell="B1" sqref="B1"/>
      <selection pane="bottomLeft" activeCell="H4" sqref="H4"/>
    </sheetView>
  </sheetViews>
  <sheetFormatPr defaultRowHeight="15" x14ac:dyDescent="0.25"/>
  <cols>
    <col min="1" max="1" width="16.7109375" bestFit="1" customWidth="1"/>
    <col min="2" max="2" width="32.5703125" bestFit="1" customWidth="1"/>
    <col min="3" max="3" width="49.5703125" bestFit="1" customWidth="1"/>
    <col min="4" max="4" width="11.28515625" bestFit="1" customWidth="1"/>
    <col min="5" max="6" width="13.5703125" bestFit="1" customWidth="1"/>
    <col min="7" max="7" width="13.28515625" bestFit="1" customWidth="1"/>
    <col min="8" max="8" width="14.7109375" bestFit="1" customWidth="1"/>
    <col min="9" max="9" width="11" bestFit="1" customWidth="1"/>
    <col min="10" max="10" width="11.5703125" bestFit="1" customWidth="1"/>
  </cols>
  <sheetData>
    <row r="1" spans="1:11" x14ac:dyDescent="0.25">
      <c r="A1" s="278" t="s">
        <v>291</v>
      </c>
    </row>
    <row r="2" spans="1:11" x14ac:dyDescent="0.25">
      <c r="B2" s="252"/>
      <c r="C2" s="252"/>
      <c r="D2" s="252"/>
      <c r="E2" s="252"/>
      <c r="F2" s="252"/>
      <c r="H2" s="252"/>
      <c r="I2" s="252"/>
      <c r="J2" s="252"/>
    </row>
    <row r="3" spans="1:11" x14ac:dyDescent="0.25">
      <c r="A3" s="254"/>
      <c r="B3" s="253" t="s">
        <v>3</v>
      </c>
      <c r="C3" s="250" t="s">
        <v>292</v>
      </c>
      <c r="D3" s="250" t="s">
        <v>96</v>
      </c>
      <c r="E3" s="250" t="s">
        <v>97</v>
      </c>
      <c r="F3" s="250" t="s">
        <v>98</v>
      </c>
      <c r="G3" s="255"/>
      <c r="H3" s="253" t="s">
        <v>99</v>
      </c>
      <c r="I3" s="250" t="s">
        <v>100</v>
      </c>
      <c r="J3" s="250" t="s">
        <v>101</v>
      </c>
      <c r="K3" s="256"/>
    </row>
    <row r="4" spans="1:11" x14ac:dyDescent="0.25">
      <c r="A4" s="254"/>
      <c r="B4" s="279"/>
      <c r="C4" s="248" t="s">
        <v>102</v>
      </c>
      <c r="D4" s="280"/>
      <c r="E4" s="262">
        <v>150000</v>
      </c>
      <c r="F4" s="249">
        <f>E4</f>
        <v>150000</v>
      </c>
      <c r="G4" s="256"/>
      <c r="H4" s="281" t="s">
        <v>63</v>
      </c>
      <c r="I4" s="282">
        <v>84</v>
      </c>
      <c r="J4" s="283">
        <v>178</v>
      </c>
      <c r="K4" s="256"/>
    </row>
    <row r="5" spans="1:11" x14ac:dyDescent="0.25">
      <c r="A5" s="254"/>
      <c r="B5" s="284">
        <v>46056</v>
      </c>
      <c r="C5" s="285" t="s">
        <v>293</v>
      </c>
      <c r="D5" s="280">
        <v>-19940</v>
      </c>
      <c r="E5" s="280"/>
      <c r="F5" s="251">
        <f t="shared" ref="F5:F31" si="0">F4+E5+D5</f>
        <v>130060</v>
      </c>
      <c r="G5" s="256"/>
      <c r="H5" s="281" t="s">
        <v>141</v>
      </c>
      <c r="I5" s="282">
        <v>0</v>
      </c>
      <c r="J5" s="283">
        <v>91.32</v>
      </c>
      <c r="K5" s="256"/>
    </row>
    <row r="6" spans="1:11" x14ac:dyDescent="0.25">
      <c r="A6" s="254"/>
      <c r="B6" s="286">
        <v>46056</v>
      </c>
      <c r="C6" s="281" t="s">
        <v>294</v>
      </c>
      <c r="D6" s="280">
        <v>-14872</v>
      </c>
      <c r="E6" s="280"/>
      <c r="F6" s="280">
        <f t="shared" si="0"/>
        <v>115188</v>
      </c>
      <c r="G6" s="255"/>
      <c r="H6" s="287" t="s">
        <v>72</v>
      </c>
      <c r="I6" s="282">
        <v>1110</v>
      </c>
      <c r="J6" s="283">
        <f>(34380+14858)/1110</f>
        <v>44.358558558558556</v>
      </c>
      <c r="K6" s="256"/>
    </row>
    <row r="7" spans="1:11" x14ac:dyDescent="0.25">
      <c r="A7" s="254"/>
      <c r="B7" s="286">
        <v>46056</v>
      </c>
      <c r="C7" s="281" t="s">
        <v>295</v>
      </c>
      <c r="D7" s="280">
        <v>-15055</v>
      </c>
      <c r="E7" s="280"/>
      <c r="F7" s="280">
        <f t="shared" si="0"/>
        <v>100133</v>
      </c>
      <c r="G7" s="255"/>
      <c r="H7" s="287" t="s">
        <v>74</v>
      </c>
      <c r="I7" s="282">
        <v>130</v>
      </c>
      <c r="J7" s="283">
        <f>(29569+9164)/130</f>
        <v>297.94615384615383</v>
      </c>
      <c r="K7" s="256"/>
    </row>
    <row r="8" spans="1:11" x14ac:dyDescent="0.25">
      <c r="A8" s="254"/>
      <c r="B8" s="286">
        <v>46056</v>
      </c>
      <c r="C8" s="281" t="s">
        <v>296</v>
      </c>
      <c r="D8" s="280">
        <v>-14972</v>
      </c>
      <c r="E8" s="280"/>
      <c r="F8" s="280">
        <f t="shared" si="0"/>
        <v>85161</v>
      </c>
      <c r="G8" s="255"/>
      <c r="H8" s="287" t="s">
        <v>73</v>
      </c>
      <c r="I8" s="282">
        <v>240</v>
      </c>
      <c r="J8" s="283">
        <v>101.666666666667</v>
      </c>
      <c r="K8" s="256"/>
    </row>
    <row r="9" spans="1:11" x14ac:dyDescent="0.25">
      <c r="A9" s="254"/>
      <c r="B9" s="286">
        <v>46056</v>
      </c>
      <c r="C9" s="281" t="s">
        <v>297</v>
      </c>
      <c r="D9" s="280">
        <v>-24664.2</v>
      </c>
      <c r="E9" s="280"/>
      <c r="F9" s="280">
        <f t="shared" si="0"/>
        <v>60496.800000000003</v>
      </c>
      <c r="G9" s="257"/>
      <c r="H9" s="287" t="s">
        <v>70</v>
      </c>
      <c r="I9" s="282">
        <v>20</v>
      </c>
      <c r="J9" s="283">
        <v>912</v>
      </c>
    </row>
    <row r="10" spans="1:11" x14ac:dyDescent="0.25">
      <c r="A10" s="254"/>
      <c r="B10" s="286">
        <v>46057</v>
      </c>
      <c r="C10" s="281" t="s">
        <v>298</v>
      </c>
      <c r="D10" s="280">
        <v>-10023</v>
      </c>
      <c r="E10" s="280"/>
      <c r="F10" s="280">
        <f t="shared" si="0"/>
        <v>50473.8</v>
      </c>
      <c r="G10" s="257"/>
      <c r="H10" s="287" t="s">
        <v>71</v>
      </c>
      <c r="I10" s="282">
        <v>37</v>
      </c>
      <c r="J10" s="283">
        <v>543.08108108108104</v>
      </c>
    </row>
    <row r="11" spans="1:11" x14ac:dyDescent="0.25">
      <c r="A11" s="254"/>
      <c r="B11" s="286">
        <v>46057</v>
      </c>
      <c r="C11" s="281" t="s">
        <v>299</v>
      </c>
      <c r="D11" s="280">
        <v>-15310</v>
      </c>
      <c r="E11" s="280"/>
      <c r="F11" s="280">
        <f t="shared" si="0"/>
        <v>35163.800000000003</v>
      </c>
      <c r="G11" s="257"/>
      <c r="H11" s="301" t="s">
        <v>137</v>
      </c>
      <c r="I11" s="302">
        <v>0</v>
      </c>
      <c r="J11" s="303">
        <v>59.09</v>
      </c>
    </row>
    <row r="12" spans="1:11" x14ac:dyDescent="0.25">
      <c r="A12" s="254"/>
      <c r="B12" s="286">
        <v>46059</v>
      </c>
      <c r="C12" s="281" t="s">
        <v>300</v>
      </c>
      <c r="D12" s="280">
        <v>-9960</v>
      </c>
      <c r="E12" s="280"/>
      <c r="F12" s="280">
        <f t="shared" si="0"/>
        <v>25203.800000000003</v>
      </c>
      <c r="G12" s="257"/>
    </row>
    <row r="13" spans="1:11" x14ac:dyDescent="0.25">
      <c r="A13" s="254"/>
      <c r="B13" s="286">
        <v>46059</v>
      </c>
      <c r="C13" s="281" t="s">
        <v>301</v>
      </c>
      <c r="D13" s="280">
        <v>-15087.8</v>
      </c>
      <c r="E13" s="280"/>
      <c r="F13" s="280">
        <f t="shared" si="0"/>
        <v>10116.000000000004</v>
      </c>
      <c r="G13" s="257"/>
    </row>
    <row r="14" spans="1:11" x14ac:dyDescent="0.25">
      <c r="A14" s="254"/>
      <c r="B14" s="286">
        <v>46142</v>
      </c>
      <c r="C14" s="281" t="s">
        <v>302</v>
      </c>
      <c r="D14" s="280"/>
      <c r="E14" s="280">
        <v>29706.3</v>
      </c>
      <c r="F14" s="280">
        <f t="shared" si="0"/>
        <v>39822.300000000003</v>
      </c>
      <c r="G14" s="257"/>
    </row>
    <row r="15" spans="1:11" x14ac:dyDescent="0.25">
      <c r="A15" s="254"/>
      <c r="B15" s="286">
        <v>46142</v>
      </c>
      <c r="C15" s="281" t="s">
        <v>303</v>
      </c>
      <c r="D15" s="280"/>
      <c r="E15" s="280">
        <v>37209.43</v>
      </c>
      <c r="F15" s="280">
        <f t="shared" si="0"/>
        <v>77031.73000000001</v>
      </c>
      <c r="G15" s="257"/>
    </row>
    <row r="16" spans="1:11" x14ac:dyDescent="0.25">
      <c r="A16" s="254"/>
      <c r="B16" s="286">
        <v>46142</v>
      </c>
      <c r="C16" s="281" t="s">
        <v>304</v>
      </c>
      <c r="D16" s="280"/>
      <c r="E16" s="280">
        <v>61631.23</v>
      </c>
      <c r="F16" s="280">
        <f t="shared" si="0"/>
        <v>138662.96000000002</v>
      </c>
      <c r="G16" s="257"/>
    </row>
    <row r="17" spans="1:7" x14ac:dyDescent="0.25">
      <c r="A17" s="254"/>
      <c r="B17" s="286">
        <v>46142</v>
      </c>
      <c r="C17" s="281" t="s">
        <v>305</v>
      </c>
      <c r="D17" s="280"/>
      <c r="E17" s="280">
        <v>28575.360000000001</v>
      </c>
      <c r="F17" s="280">
        <f t="shared" si="0"/>
        <v>167238.32</v>
      </c>
      <c r="G17" s="257"/>
    </row>
    <row r="18" spans="1:7" x14ac:dyDescent="0.25">
      <c r="A18" s="254"/>
      <c r="B18" s="286">
        <v>46142</v>
      </c>
      <c r="C18" s="281" t="s">
        <v>306</v>
      </c>
      <c r="D18" s="280"/>
      <c r="E18" s="280">
        <v>19296.599999999999</v>
      </c>
      <c r="F18" s="280">
        <f t="shared" si="0"/>
        <v>186534.92</v>
      </c>
      <c r="G18" s="257"/>
    </row>
    <row r="19" spans="1:7" x14ac:dyDescent="0.25">
      <c r="A19" s="254"/>
      <c r="B19" s="286">
        <v>46143</v>
      </c>
      <c r="C19" s="281" t="s">
        <v>307</v>
      </c>
      <c r="D19" s="280">
        <v>-34380</v>
      </c>
      <c r="E19" s="280"/>
      <c r="F19" s="280">
        <f t="shared" si="0"/>
        <v>152154.92000000001</v>
      </c>
      <c r="G19" s="257"/>
    </row>
    <row r="20" spans="1:7" x14ac:dyDescent="0.25">
      <c r="A20" s="254"/>
      <c r="B20" s="286">
        <v>46143</v>
      </c>
      <c r="C20" s="281" t="s">
        <v>308</v>
      </c>
      <c r="D20" s="280">
        <v>-30920</v>
      </c>
      <c r="E20" s="280"/>
      <c r="F20" s="280">
        <f t="shared" si="0"/>
        <v>121234.92000000001</v>
      </c>
      <c r="G20" s="257"/>
    </row>
    <row r="21" spans="1:7" x14ac:dyDescent="0.25">
      <c r="B21" s="298">
        <v>46143</v>
      </c>
      <c r="C21" s="299" t="s">
        <v>309</v>
      </c>
      <c r="D21" s="300">
        <v>-69965</v>
      </c>
      <c r="E21" s="300"/>
      <c r="F21" s="300">
        <f t="shared" si="0"/>
        <v>51269.920000000013</v>
      </c>
      <c r="G21" s="297"/>
    </row>
    <row r="22" spans="1:7" x14ac:dyDescent="0.25">
      <c r="B22" s="298">
        <v>46147</v>
      </c>
      <c r="C22" s="299" t="s">
        <v>310</v>
      </c>
      <c r="D22" s="173"/>
      <c r="E22" s="300">
        <v>39229.15</v>
      </c>
      <c r="F22" s="300">
        <f t="shared" si="0"/>
        <v>90499.07</v>
      </c>
    </row>
    <row r="23" spans="1:7" x14ac:dyDescent="0.25">
      <c r="B23" s="298">
        <v>46149</v>
      </c>
      <c r="C23" s="299" t="s">
        <v>311</v>
      </c>
      <c r="D23" s="317">
        <v>-24400</v>
      </c>
      <c r="E23" s="300"/>
      <c r="F23" s="300">
        <f t="shared" si="0"/>
        <v>66099.070000000007</v>
      </c>
    </row>
    <row r="24" spans="1:7" x14ac:dyDescent="0.25">
      <c r="B24" s="298">
        <v>46150</v>
      </c>
      <c r="C24" s="299" t="s">
        <v>312</v>
      </c>
      <c r="D24" s="317">
        <v>-18240</v>
      </c>
      <c r="E24" s="300"/>
      <c r="F24" s="300">
        <f t="shared" si="0"/>
        <v>47859.070000000007</v>
      </c>
    </row>
    <row r="25" spans="1:7" x14ac:dyDescent="0.25">
      <c r="B25" s="298">
        <v>46150</v>
      </c>
      <c r="C25" s="299" t="s">
        <v>313</v>
      </c>
      <c r="D25" s="317">
        <v>-20094</v>
      </c>
      <c r="E25" s="300"/>
      <c r="F25" s="300">
        <f t="shared" si="0"/>
        <v>27765.070000000007</v>
      </c>
    </row>
    <row r="26" spans="1:7" x14ac:dyDescent="0.25">
      <c r="B26" s="298">
        <v>46150</v>
      </c>
      <c r="C26" s="299" t="s">
        <v>314</v>
      </c>
      <c r="D26" s="317">
        <v>-14858</v>
      </c>
      <c r="E26" s="300"/>
      <c r="F26" s="300">
        <f t="shared" si="0"/>
        <v>12907.070000000007</v>
      </c>
    </row>
    <row r="27" spans="1:7" x14ac:dyDescent="0.25">
      <c r="B27" s="298">
        <v>46153</v>
      </c>
      <c r="C27" s="299" t="s">
        <v>315</v>
      </c>
      <c r="D27" s="317"/>
      <c r="E27" s="300">
        <v>69971.55</v>
      </c>
      <c r="F27" s="300">
        <f t="shared" si="0"/>
        <v>82878.62000000001</v>
      </c>
    </row>
    <row r="28" spans="1:7" x14ac:dyDescent="0.25">
      <c r="B28" s="298">
        <v>46153</v>
      </c>
      <c r="C28" s="299" t="s">
        <v>316</v>
      </c>
      <c r="D28" s="317">
        <v>-29569</v>
      </c>
      <c r="E28" s="300"/>
      <c r="F28" s="300">
        <f t="shared" si="0"/>
        <v>53309.62000000001</v>
      </c>
    </row>
    <row r="29" spans="1:7" x14ac:dyDescent="0.25">
      <c r="B29" s="298">
        <v>46153</v>
      </c>
      <c r="C29" s="299" t="s">
        <v>317</v>
      </c>
      <c r="D29" s="317">
        <v>-29545</v>
      </c>
      <c r="E29" s="300"/>
      <c r="F29" s="300">
        <f t="shared" si="0"/>
        <v>23764.62000000001</v>
      </c>
    </row>
    <row r="30" spans="1:7" x14ac:dyDescent="0.25">
      <c r="B30" s="298">
        <v>46155</v>
      </c>
      <c r="C30" s="299" t="s">
        <v>318</v>
      </c>
      <c r="D30" s="317">
        <v>-9164</v>
      </c>
      <c r="E30" s="300"/>
      <c r="F30" s="300">
        <f t="shared" si="0"/>
        <v>14600.62000000001</v>
      </c>
    </row>
    <row r="31" spans="1:7" x14ac:dyDescent="0.25">
      <c r="B31" s="298">
        <v>46163</v>
      </c>
      <c r="C31" s="299" t="s">
        <v>319</v>
      </c>
      <c r="D31" s="317"/>
      <c r="E31" s="300">
        <v>15839.47</v>
      </c>
      <c r="F31" s="300">
        <f t="shared" si="0"/>
        <v>30440.090000000011</v>
      </c>
    </row>
    <row r="32" spans="1:7" x14ac:dyDescent="0.25">
      <c r="B32" s="298">
        <v>46199</v>
      </c>
      <c r="C32" s="299" t="s">
        <v>219</v>
      </c>
      <c r="D32" s="317"/>
      <c r="E32" s="300">
        <v>35674.26</v>
      </c>
      <c r="F32" s="300">
        <f>F31+E32+D32</f>
        <v>66114.350000000006</v>
      </c>
    </row>
    <row r="33" spans="2:9" x14ac:dyDescent="0.25">
      <c r="B33" s="278" t="s">
        <v>320</v>
      </c>
    </row>
    <row r="35" spans="2:9" x14ac:dyDescent="0.25">
      <c r="B35" s="260" t="s">
        <v>321</v>
      </c>
      <c r="C35" s="258" t="s">
        <v>322</v>
      </c>
      <c r="D35" s="258" t="s">
        <v>323</v>
      </c>
      <c r="E35" s="258" t="s">
        <v>324</v>
      </c>
      <c r="F35" s="258" t="s">
        <v>325</v>
      </c>
      <c r="G35" s="258" t="s">
        <v>326</v>
      </c>
      <c r="H35" s="258" t="s">
        <v>327</v>
      </c>
      <c r="I35" s="259" t="s">
        <v>328</v>
      </c>
    </row>
    <row r="36" spans="2:9" x14ac:dyDescent="0.25">
      <c r="B36" s="281" t="s">
        <v>63</v>
      </c>
      <c r="C36" s="289">
        <v>84</v>
      </c>
      <c r="D36" s="290">
        <v>178</v>
      </c>
      <c r="E36" s="280">
        <v>14972</v>
      </c>
      <c r="F36" s="261">
        <f>'Portfolio Snapshot'!B6</f>
        <v>218.99</v>
      </c>
      <c r="G36" s="280">
        <f>C36*F36</f>
        <v>18395.16</v>
      </c>
      <c r="H36" s="280">
        <f>G36-E36</f>
        <v>3423.16</v>
      </c>
      <c r="I36" s="291">
        <f>H36/E36</f>
        <v>0.22863745658562648</v>
      </c>
    </row>
    <row r="37" spans="2:9" x14ac:dyDescent="0.25">
      <c r="B37" s="281" t="s">
        <v>141</v>
      </c>
      <c r="C37" s="289">
        <v>0</v>
      </c>
      <c r="D37" s="290">
        <v>91.441212121212104</v>
      </c>
      <c r="E37" s="280">
        <v>0</v>
      </c>
      <c r="F37" s="261">
        <v>0</v>
      </c>
      <c r="G37" s="280">
        <v>0</v>
      </c>
      <c r="H37" s="280">
        <v>0</v>
      </c>
      <c r="I37" s="291">
        <v>0</v>
      </c>
    </row>
    <row r="38" spans="2:9" x14ac:dyDescent="0.25">
      <c r="B38" s="281" t="s">
        <v>72</v>
      </c>
      <c r="C38" s="289">
        <v>1110</v>
      </c>
      <c r="D38" s="290">
        <f>(34380+14858)/1110</f>
        <v>44.358558558558556</v>
      </c>
      <c r="E38" s="280">
        <f>C38*D38</f>
        <v>49238</v>
      </c>
      <c r="F38" s="261">
        <f>'Portfolio Snapshot'!B12</f>
        <v>45.9</v>
      </c>
      <c r="G38" s="280">
        <f t="shared" ref="G38:G42" si="1">C38*F38</f>
        <v>50949</v>
      </c>
      <c r="H38" s="280">
        <f t="shared" ref="H38:H42" si="2">G38-E38</f>
        <v>1711</v>
      </c>
      <c r="I38" s="291">
        <f t="shared" ref="I38:I42" si="3">H38/E38</f>
        <v>3.474958365490069E-2</v>
      </c>
    </row>
    <row r="39" spans="2:9" x14ac:dyDescent="0.25">
      <c r="B39" s="281" t="s">
        <v>74</v>
      </c>
      <c r="C39" s="289">
        <v>130</v>
      </c>
      <c r="D39" s="290">
        <f>(29569+9164)/130</f>
        <v>297.94615384615383</v>
      </c>
      <c r="E39" s="280">
        <f>C39*D39</f>
        <v>38733</v>
      </c>
      <c r="F39" s="304">
        <f>'Portfolio Snapshot'!B14</f>
        <v>278.39999999999998</v>
      </c>
      <c r="G39" s="280">
        <f t="shared" si="1"/>
        <v>36192</v>
      </c>
      <c r="H39" s="280">
        <f t="shared" si="2"/>
        <v>-2541</v>
      </c>
      <c r="I39" s="291">
        <f t="shared" si="3"/>
        <v>-6.5602974208039649E-2</v>
      </c>
    </row>
    <row r="40" spans="2:9" x14ac:dyDescent="0.25">
      <c r="B40" s="281" t="s">
        <v>73</v>
      </c>
      <c r="C40" s="289">
        <v>240</v>
      </c>
      <c r="D40" s="290">
        <v>101.666666666667</v>
      </c>
      <c r="E40" s="280">
        <v>24400</v>
      </c>
      <c r="F40" s="261">
        <f>'Portfolio Snapshot'!B13</f>
        <v>78.33</v>
      </c>
      <c r="G40" s="280">
        <f t="shared" si="1"/>
        <v>18799.2</v>
      </c>
      <c r="H40" s="280">
        <f t="shared" si="2"/>
        <v>-5600.7999999999993</v>
      </c>
      <c r="I40" s="291">
        <f t="shared" si="3"/>
        <v>-0.22954098360655734</v>
      </c>
    </row>
    <row r="41" spans="2:9" x14ac:dyDescent="0.25">
      <c r="B41" s="281" t="s">
        <v>70</v>
      </c>
      <c r="C41" s="289">
        <v>20</v>
      </c>
      <c r="D41" s="290">
        <v>912</v>
      </c>
      <c r="E41" s="280">
        <v>18240</v>
      </c>
      <c r="F41" s="261">
        <f>'Portfolio Snapshot'!B10</f>
        <v>838.06</v>
      </c>
      <c r="G41" s="280">
        <f t="shared" si="1"/>
        <v>16761.199999999997</v>
      </c>
      <c r="H41" s="280">
        <f t="shared" si="2"/>
        <v>-1478.8000000000029</v>
      </c>
      <c r="I41" s="291">
        <f t="shared" si="3"/>
        <v>-8.1074561403508938E-2</v>
      </c>
    </row>
    <row r="42" spans="2:9" x14ac:dyDescent="0.25">
      <c r="B42" s="281" t="s">
        <v>71</v>
      </c>
      <c r="C42" s="289">
        <v>37</v>
      </c>
      <c r="D42" s="290">
        <v>543.08108108108104</v>
      </c>
      <c r="E42" s="280">
        <v>20094</v>
      </c>
      <c r="F42" s="261">
        <f>'Portfolio Snapshot'!B11</f>
        <v>403.76</v>
      </c>
      <c r="G42" s="280">
        <f t="shared" si="1"/>
        <v>14939.119999999999</v>
      </c>
      <c r="H42" s="280">
        <f t="shared" si="2"/>
        <v>-5154.880000000001</v>
      </c>
      <c r="I42" s="291">
        <f t="shared" si="3"/>
        <v>-0.25653827013038721</v>
      </c>
    </row>
    <row r="43" spans="2:9" x14ac:dyDescent="0.25">
      <c r="B43" s="281" t="s">
        <v>137</v>
      </c>
      <c r="C43" s="289">
        <v>0</v>
      </c>
      <c r="D43" s="290">
        <v>59.09</v>
      </c>
      <c r="E43" s="280">
        <v>0</v>
      </c>
      <c r="F43" s="304">
        <f>IFERROR(_xlfn.XLOOKUP(B43,'Portfolio Snapshot'!$A$2:$A$18,'Portfolio Snapshot'!$B$2:$B$18),0)</f>
        <v>0</v>
      </c>
      <c r="G43" s="280">
        <f>C43*F43</f>
        <v>0</v>
      </c>
      <c r="H43" s="280">
        <f>G43-E43</f>
        <v>0</v>
      </c>
      <c r="I43" s="291">
        <f>IF(E43=0,0,H43/E43)</f>
        <v>0</v>
      </c>
    </row>
    <row r="44" spans="2:9" x14ac:dyDescent="0.25">
      <c r="B44" s="275" t="s">
        <v>329</v>
      </c>
      <c r="C44" s="289"/>
      <c r="D44" s="290"/>
      <c r="E44" s="280">
        <f>SUM(E36:E43)</f>
        <v>165677</v>
      </c>
      <c r="F44" s="261"/>
      <c r="G44" s="280">
        <f>SUM(G36:G43)</f>
        <v>156035.68</v>
      </c>
      <c r="H44" s="280">
        <f>SUM(H36:H43)</f>
        <v>-9641.3200000000033</v>
      </c>
      <c r="I44" s="291">
        <f>IF(E44=0,0,H44/E44)</f>
        <v>-5.8193472841734241E-2</v>
      </c>
    </row>
    <row r="45" spans="2:9" x14ac:dyDescent="0.25">
      <c r="B45" s="268"/>
      <c r="C45" s="288"/>
      <c r="D45" s="288"/>
      <c r="E45" s="271"/>
      <c r="F45" s="288"/>
      <c r="G45" s="271"/>
      <c r="H45" s="271"/>
      <c r="I45" s="272"/>
    </row>
    <row r="47" spans="2:9" x14ac:dyDescent="0.25">
      <c r="B47" s="260" t="s">
        <v>330</v>
      </c>
      <c r="C47" s="258" t="s">
        <v>322</v>
      </c>
      <c r="D47" s="258" t="s">
        <v>331</v>
      </c>
      <c r="E47" s="258" t="s">
        <v>324</v>
      </c>
      <c r="F47" s="258" t="s">
        <v>332</v>
      </c>
      <c r="G47" s="258" t="s">
        <v>333</v>
      </c>
      <c r="H47" s="258" t="s">
        <v>334</v>
      </c>
      <c r="I47" s="259" t="s">
        <v>328</v>
      </c>
    </row>
    <row r="48" spans="2:9" x14ac:dyDescent="0.25">
      <c r="B48" s="281" t="s">
        <v>190</v>
      </c>
      <c r="C48" s="289">
        <v>8050</v>
      </c>
      <c r="D48" s="290">
        <v>2.48</v>
      </c>
      <c r="E48" s="280">
        <v>19983</v>
      </c>
      <c r="F48" s="290">
        <v>3.71</v>
      </c>
      <c r="G48" s="280">
        <v>29706.3</v>
      </c>
      <c r="H48" s="280">
        <f t="shared" ref="H48:H55" si="4">G48-E48</f>
        <v>9723.2999999999993</v>
      </c>
      <c r="I48" s="291">
        <f t="shared" ref="I48:I55" si="5">H48/E48</f>
        <v>0.48657859180303253</v>
      </c>
    </row>
    <row r="49" spans="2:9" x14ac:dyDescent="0.25">
      <c r="B49" s="281" t="s">
        <v>192</v>
      </c>
      <c r="C49" s="289">
        <v>70</v>
      </c>
      <c r="D49" s="290">
        <v>352.06</v>
      </c>
      <c r="E49" s="280">
        <v>24664.2</v>
      </c>
      <c r="F49" s="290">
        <v>531.86</v>
      </c>
      <c r="G49" s="280">
        <v>37209.43</v>
      </c>
      <c r="H49" s="280">
        <f t="shared" si="4"/>
        <v>12545.23</v>
      </c>
      <c r="I49" s="291">
        <f t="shared" si="5"/>
        <v>0.50864126953235855</v>
      </c>
    </row>
    <row r="50" spans="2:9" x14ac:dyDescent="0.25">
      <c r="B50" s="281" t="s">
        <v>194</v>
      </c>
      <c r="C50" s="289">
        <v>230</v>
      </c>
      <c r="D50" s="290">
        <v>153.26</v>
      </c>
      <c r="E50" s="280">
        <v>35250</v>
      </c>
      <c r="F50" s="290">
        <v>268.05</v>
      </c>
      <c r="G50" s="280">
        <v>61631.23</v>
      </c>
      <c r="H50" s="280">
        <f t="shared" si="4"/>
        <v>26381.230000000003</v>
      </c>
      <c r="I50" s="291">
        <f t="shared" si="5"/>
        <v>0.74840368794326251</v>
      </c>
    </row>
    <row r="51" spans="2:9" x14ac:dyDescent="0.25">
      <c r="B51" s="281" t="s">
        <v>128</v>
      </c>
      <c r="C51" s="289">
        <v>310</v>
      </c>
      <c r="D51" s="290">
        <v>48.5</v>
      </c>
      <c r="E51" s="280">
        <v>15055</v>
      </c>
      <c r="F51" s="290">
        <v>92.25</v>
      </c>
      <c r="G51" s="280">
        <v>28575.360000000001</v>
      </c>
      <c r="H51" s="280">
        <f t="shared" si="4"/>
        <v>13520.36</v>
      </c>
      <c r="I51" s="291">
        <f t="shared" si="5"/>
        <v>0.89806443042178685</v>
      </c>
    </row>
    <row r="52" spans="2:9" x14ac:dyDescent="0.25">
      <c r="B52" s="281" t="s">
        <v>104</v>
      </c>
      <c r="C52" s="289">
        <v>47</v>
      </c>
      <c r="D52" s="290">
        <v>316</v>
      </c>
      <c r="E52" s="280">
        <v>14872</v>
      </c>
      <c r="F52" s="290">
        <v>411</v>
      </c>
      <c r="G52" s="280">
        <v>19296.599999999999</v>
      </c>
      <c r="H52" s="280">
        <f t="shared" si="4"/>
        <v>4424.5999999999985</v>
      </c>
      <c r="I52" s="291">
        <f t="shared" si="5"/>
        <v>0.29751210328133393</v>
      </c>
    </row>
    <row r="53" spans="2:9" x14ac:dyDescent="0.25">
      <c r="B53" s="268" t="s">
        <v>78</v>
      </c>
      <c r="C53" s="269">
        <v>1000</v>
      </c>
      <c r="D53" s="270">
        <v>30.92</v>
      </c>
      <c r="E53" s="271">
        <v>30920</v>
      </c>
      <c r="F53" s="270">
        <v>39.229149999999997</v>
      </c>
      <c r="G53" s="271">
        <v>39229.15</v>
      </c>
      <c r="H53" s="271">
        <f t="shared" si="4"/>
        <v>8309.1500000000015</v>
      </c>
      <c r="I53" s="272">
        <f t="shared" si="5"/>
        <v>0.26873059508408803</v>
      </c>
    </row>
    <row r="54" spans="2:9" x14ac:dyDescent="0.25">
      <c r="B54" s="274" t="s">
        <v>75</v>
      </c>
      <c r="C54" s="305">
        <v>600</v>
      </c>
      <c r="D54" s="306">
        <v>116.58</v>
      </c>
      <c r="E54" s="307">
        <v>69965</v>
      </c>
      <c r="F54" s="306">
        <v>116.65</v>
      </c>
      <c r="G54" s="307">
        <v>69971.55</v>
      </c>
      <c r="H54" s="308">
        <f t="shared" si="4"/>
        <v>6.5500000000029104</v>
      </c>
      <c r="I54" s="309">
        <f t="shared" si="5"/>
        <v>9.3618237690315303E-5</v>
      </c>
    </row>
    <row r="55" spans="2:9" x14ac:dyDescent="0.25">
      <c r="B55" s="274" t="s">
        <v>141</v>
      </c>
      <c r="C55" s="305">
        <v>165</v>
      </c>
      <c r="D55" s="306">
        <v>91.441212121212104</v>
      </c>
      <c r="E55" s="307">
        <v>15087.8</v>
      </c>
      <c r="F55" s="306">
        <v>96.12</v>
      </c>
      <c r="G55" s="307">
        <v>15839.47</v>
      </c>
      <c r="H55" s="308">
        <f t="shared" si="4"/>
        <v>751.67000000000007</v>
      </c>
      <c r="I55" s="309">
        <f t="shared" si="5"/>
        <v>4.9819721894510803E-2</v>
      </c>
    </row>
    <row r="56" spans="2:9" x14ac:dyDescent="0.25">
      <c r="B56" s="274" t="s">
        <v>137</v>
      </c>
      <c r="C56" s="305">
        <v>500</v>
      </c>
      <c r="D56" s="306">
        <v>59.09</v>
      </c>
      <c r="E56" s="307">
        <v>29545</v>
      </c>
      <c r="F56" s="306">
        <v>71.39</v>
      </c>
      <c r="G56" s="307">
        <v>35674.26</v>
      </c>
      <c r="H56" s="308">
        <f>G56-E56</f>
        <v>6129.260000000002</v>
      </c>
      <c r="I56" s="309">
        <f>H56/E56</f>
        <v>0.20745506853951606</v>
      </c>
    </row>
    <row r="57" spans="2:9" x14ac:dyDescent="0.25">
      <c r="B57" s="274" t="s">
        <v>335</v>
      </c>
      <c r="E57" s="238">
        <f>SUM(E48:E56)</f>
        <v>255342</v>
      </c>
      <c r="G57" s="238">
        <f>SUM(G48:G56)</f>
        <v>337133.35</v>
      </c>
      <c r="H57" s="273">
        <f>SUM(H48:H56)</f>
        <v>81791.350000000006</v>
      </c>
      <c r="I57" s="229">
        <f>IF(E57=0,0,H57/E57)</f>
        <v>0.32032078545636833</v>
      </c>
    </row>
    <row r="58" spans="2:9" x14ac:dyDescent="0.25">
      <c r="B58" s="278" t="s">
        <v>336</v>
      </c>
    </row>
    <row r="60" spans="2:9" x14ac:dyDescent="0.25">
      <c r="B60" s="275" t="s">
        <v>337</v>
      </c>
      <c r="C60" s="292">
        <f>E4</f>
        <v>150000</v>
      </c>
    </row>
    <row r="61" spans="2:9" x14ac:dyDescent="0.25">
      <c r="B61" s="281" t="s">
        <v>338</v>
      </c>
      <c r="C61" s="293">
        <f>F32</f>
        <v>66114.350000000006</v>
      </c>
    </row>
    <row r="62" spans="2:9" x14ac:dyDescent="0.25">
      <c r="B62" s="281" t="s">
        <v>339</v>
      </c>
      <c r="C62" s="293">
        <f>G44</f>
        <v>156035.68</v>
      </c>
    </row>
    <row r="63" spans="2:9" x14ac:dyDescent="0.25">
      <c r="B63" s="275" t="s">
        <v>340</v>
      </c>
      <c r="C63" s="292">
        <f>C61+C62</f>
        <v>222150.03</v>
      </c>
    </row>
    <row r="64" spans="2:9" x14ac:dyDescent="0.25">
      <c r="B64" s="281"/>
      <c r="C64" s="294"/>
    </row>
    <row r="65" spans="2:3" x14ac:dyDescent="0.25">
      <c r="B65" s="275" t="s">
        <v>341</v>
      </c>
      <c r="C65" s="292">
        <f>H57+H44</f>
        <v>72150.03</v>
      </c>
    </row>
    <row r="66" spans="2:3" x14ac:dyDescent="0.25">
      <c r="B66" s="268" t="s">
        <v>342</v>
      </c>
      <c r="C66" s="295">
        <f>(C63-C60)/C60</f>
        <v>0.48100019999999999</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BF70D-0578-4E99-8CB8-EB10627CF899}">
  <dimension ref="A1:M14"/>
  <sheetViews>
    <sheetView workbookViewId="0">
      <selection activeCell="D20" sqref="D20"/>
    </sheetView>
  </sheetViews>
  <sheetFormatPr defaultRowHeight="15" x14ac:dyDescent="0.25"/>
  <cols>
    <col min="1" max="1" width="31.5703125" customWidth="1"/>
    <col min="2" max="2" width="14.5703125" bestFit="1" customWidth="1"/>
    <col min="3" max="3" width="19.5703125" bestFit="1" customWidth="1"/>
    <col min="4" max="4" width="15.5703125" bestFit="1" customWidth="1"/>
    <col min="5" max="5" width="19.5703125" bestFit="1" customWidth="1"/>
    <col min="6" max="6" width="13" bestFit="1" customWidth="1"/>
    <col min="8" max="8" width="24" bestFit="1" customWidth="1"/>
    <col min="10" max="10" width="14.5703125" bestFit="1" customWidth="1"/>
    <col min="11" max="11" width="15.28515625" bestFit="1" customWidth="1"/>
    <col min="12" max="12" width="2.7109375" bestFit="1" customWidth="1"/>
    <col min="13" max="13" width="6.7109375" bestFit="1" customWidth="1"/>
    <col min="14" max="14" width="10.42578125" bestFit="1" customWidth="1"/>
  </cols>
  <sheetData>
    <row r="1" spans="1:13" x14ac:dyDescent="0.25">
      <c r="A1" s="32" t="s">
        <v>3</v>
      </c>
      <c r="B1" s="32" t="s">
        <v>359</v>
      </c>
      <c r="C1" s="32" t="s">
        <v>360</v>
      </c>
      <c r="D1" s="32" t="s">
        <v>361</v>
      </c>
      <c r="E1" s="32" t="s">
        <v>362</v>
      </c>
      <c r="F1" s="32" t="s">
        <v>363</v>
      </c>
    </row>
    <row r="2" spans="1:13" x14ac:dyDescent="0.25">
      <c r="A2" s="34">
        <v>45453</v>
      </c>
      <c r="B2" s="10" t="s">
        <v>392</v>
      </c>
      <c r="C2" s="33">
        <v>300000</v>
      </c>
      <c r="D2" s="33">
        <v>10</v>
      </c>
      <c r="E2" s="26">
        <f>C2/D2</f>
        <v>30000</v>
      </c>
      <c r="F2" s="98">
        <f>E2</f>
        <v>30000</v>
      </c>
      <c r="H2" s="224"/>
      <c r="J2" s="175"/>
      <c r="K2" s="175"/>
      <c r="L2" s="98"/>
      <c r="M2" s="98"/>
    </row>
    <row r="3" spans="1:13" x14ac:dyDescent="0.25">
      <c r="A3" s="34">
        <v>45691</v>
      </c>
      <c r="B3" s="10" t="s">
        <v>392</v>
      </c>
      <c r="C3" s="33">
        <f>9157*D3</f>
        <v>99994.44</v>
      </c>
      <c r="D3" s="33">
        <v>10.92</v>
      </c>
      <c r="E3" s="26">
        <f>C3/D3</f>
        <v>9157</v>
      </c>
      <c r="F3" s="98">
        <f>E3+F2</f>
        <v>39157</v>
      </c>
      <c r="H3" s="224"/>
      <c r="J3" s="175"/>
      <c r="K3" s="175"/>
      <c r="L3" s="98"/>
      <c r="M3" s="98"/>
    </row>
    <row r="4" spans="1:13" x14ac:dyDescent="0.25">
      <c r="A4" s="34">
        <v>46056</v>
      </c>
      <c r="B4" s="10" t="s">
        <v>392</v>
      </c>
      <c r="C4" s="95">
        <v>350000</v>
      </c>
      <c r="D4" s="157">
        <v>11.8</v>
      </c>
      <c r="E4" s="235">
        <f>C4/D4</f>
        <v>29661.016949152541</v>
      </c>
      <c r="F4" s="98">
        <f>E4+F3</f>
        <v>68818.016949152545</v>
      </c>
    </row>
    <row r="5" spans="1:13" x14ac:dyDescent="0.25">
      <c r="C5" s="95"/>
    </row>
    <row r="6" spans="1:13" x14ac:dyDescent="0.25">
      <c r="C6" s="95"/>
    </row>
    <row r="7" spans="1:13" x14ac:dyDescent="0.25">
      <c r="C7" s="95"/>
    </row>
    <row r="8" spans="1:13" x14ac:dyDescent="0.25">
      <c r="C8" s="95"/>
    </row>
    <row r="9" spans="1:13" x14ac:dyDescent="0.25">
      <c r="C9" s="95"/>
    </row>
    <row r="10" spans="1:13" ht="15.75" thickBot="1" x14ac:dyDescent="0.3">
      <c r="A10" s="96"/>
      <c r="B10" s="96"/>
      <c r="C10" s="277">
        <f>SUM(C2:C9)</f>
        <v>749994.44</v>
      </c>
      <c r="D10" s="277">
        <f>C10/E10</f>
        <v>10.89822801133818</v>
      </c>
      <c r="E10" s="277">
        <f>SUM(E2:E9)</f>
        <v>68818.016949152545</v>
      </c>
    </row>
    <row r="13" spans="1:13" x14ac:dyDescent="0.25">
      <c r="C13" s="98"/>
      <c r="D13" s="157"/>
    </row>
    <row r="14" spans="1:13" x14ac:dyDescent="0.25">
      <c r="C14" s="9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C7B52-0AEA-4B69-B60B-BACEE6CE3DEF}">
  <sheetPr>
    <pageSetUpPr fitToPage="1"/>
  </sheetPr>
  <dimension ref="A1:M47"/>
  <sheetViews>
    <sheetView zoomScale="81" zoomScaleNormal="100" workbookViewId="0">
      <pane xSplit="2" ySplit="1" topLeftCell="C2" activePane="bottomRight" state="frozen"/>
      <selection pane="topRight" activeCell="C1" sqref="C1"/>
      <selection pane="bottomLeft" activeCell="A2" sqref="A2"/>
      <selection pane="bottomRight" activeCell="E27" sqref="E27"/>
    </sheetView>
  </sheetViews>
  <sheetFormatPr defaultRowHeight="15" x14ac:dyDescent="0.25"/>
  <cols>
    <col min="1" max="1" width="47" bestFit="1" customWidth="1"/>
    <col min="2" max="2" width="14" bestFit="1" customWidth="1"/>
    <col min="3" max="3" width="13" bestFit="1" customWidth="1"/>
    <col min="4" max="4" width="22.28515625" bestFit="1" customWidth="1"/>
    <col min="5" max="5" width="20.42578125" bestFit="1" customWidth="1"/>
    <col min="6" max="6" width="34.7109375" style="95" bestFit="1" customWidth="1"/>
    <col min="7" max="7" width="29.42578125" bestFit="1" customWidth="1"/>
    <col min="8" max="8" width="19.5703125" bestFit="1" customWidth="1"/>
    <col min="9" max="9" width="12.28515625" bestFit="1" customWidth="1"/>
    <col min="10" max="10" width="15.5703125" bestFit="1" customWidth="1"/>
    <col min="11" max="11" width="14.5703125" bestFit="1" customWidth="1"/>
    <col min="13" max="13" width="12.28515625" bestFit="1" customWidth="1"/>
    <col min="15" max="15" width="12.28515625" bestFit="1" customWidth="1"/>
  </cols>
  <sheetData>
    <row r="1" spans="1:13" s="171" customFormat="1" ht="15.75" x14ac:dyDescent="0.25">
      <c r="A1" s="165" t="s">
        <v>6</v>
      </c>
      <c r="B1" s="166" t="s">
        <v>364</v>
      </c>
      <c r="C1" s="167" t="s">
        <v>8</v>
      </c>
      <c r="D1" s="167" t="s">
        <v>365</v>
      </c>
      <c r="E1" s="167" t="s">
        <v>366</v>
      </c>
      <c r="F1" s="168" t="s">
        <v>367</v>
      </c>
      <c r="G1" s="168" t="s">
        <v>368</v>
      </c>
      <c r="H1" s="169" t="s">
        <v>369</v>
      </c>
      <c r="I1" s="170" t="s">
        <v>370</v>
      </c>
      <c r="J1" s="170" t="s">
        <v>1</v>
      </c>
      <c r="K1" s="170" t="s">
        <v>7</v>
      </c>
    </row>
    <row r="2" spans="1:13" ht="15.75" x14ac:dyDescent="0.25">
      <c r="A2" s="159" t="s">
        <v>371</v>
      </c>
      <c r="B2" s="163"/>
      <c r="C2" s="164"/>
      <c r="D2" s="162">
        <f>D16+D12</f>
        <v>0.60000000000000009</v>
      </c>
      <c r="E2" s="42"/>
      <c r="F2" s="43"/>
      <c r="G2" s="43"/>
      <c r="H2" s="44"/>
      <c r="I2" s="42"/>
      <c r="J2" s="47" t="str">
        <f>IFERROR(VLOOKUP(B2,'Daily Change'!A:F,5,FALSE),"")</f>
        <v/>
      </c>
      <c r="K2" s="42"/>
    </row>
    <row r="3" spans="1:13" x14ac:dyDescent="0.25">
      <c r="A3" s="39" t="s">
        <v>14</v>
      </c>
      <c r="B3" s="40"/>
      <c r="C3" s="41"/>
      <c r="D3" s="42"/>
      <c r="E3" s="42"/>
      <c r="F3" s="43"/>
      <c r="G3" s="43"/>
      <c r="H3" s="44"/>
      <c r="I3" s="42"/>
      <c r="J3" s="47" t="str">
        <f>IFERROR(VLOOKUP(B3,'Daily Change'!A:F,5,FALSE),"")</f>
        <v/>
      </c>
      <c r="K3" s="47" t="str">
        <f>IFERROR(VLOOKUP(B3,'Portfolio Snapshot'!$A:$L,12,),"")</f>
        <v/>
      </c>
    </row>
    <row r="4" spans="1:13" x14ac:dyDescent="0.25">
      <c r="A4" s="45" t="s">
        <v>15</v>
      </c>
      <c r="B4" s="46" t="s">
        <v>55</v>
      </c>
      <c r="C4" s="41" t="str" cm="1">
        <f t="array" ref="C4">_xlfn.IFS(I4&gt;0,"Underweight",I4=0,"",I4&lt;0,"Overweight")</f>
        <v>Overweight</v>
      </c>
      <c r="D4" s="47">
        <v>7.0000000000000007E-2</v>
      </c>
      <c r="E4" s="47">
        <f t="shared" ref="E4:E11" si="0">G4/$G$47</f>
        <v>0.17717760000000002</v>
      </c>
      <c r="F4" s="48">
        <f t="shared" ref="F4:F11" si="1">D4*$F$46</f>
        <v>52499.610800000002</v>
      </c>
      <c r="G4" s="48">
        <f>IFERROR(VLOOKUP(B:B,'Portfolio Snapshot'!$A:$L,4,0),0)</f>
        <v>132883.20000000001</v>
      </c>
      <c r="H4" s="49">
        <f t="shared" ref="H4:H12" si="2">F4-G4</f>
        <v>-80383.589200000017</v>
      </c>
      <c r="I4" s="47">
        <f t="shared" ref="I4:I12" si="3">D4-E4</f>
        <v>-0.10717760000000001</v>
      </c>
      <c r="J4" s="47">
        <f>IFERROR(VLOOKUP(B4,'Daily Change'!A:F,5,FALSE),"")</f>
        <v>0</v>
      </c>
      <c r="K4" s="47">
        <f>IFERROR(VLOOKUP(B4,'Portfolio Snapshot'!$A:$L,12,),"")</f>
        <v>0.10526090223014688</v>
      </c>
    </row>
    <row r="5" spans="1:13" x14ac:dyDescent="0.25">
      <c r="A5" s="45" t="s">
        <v>16</v>
      </c>
      <c r="B5" s="46" t="s">
        <v>61</v>
      </c>
      <c r="C5" s="41" t="str" cm="1">
        <f t="array" ref="C5">_xlfn.IFS(I5&gt;0,"Underweight",I5=0,"",I5&lt;0,"Overweight")</f>
        <v>Underweight</v>
      </c>
      <c r="D5" s="47">
        <v>7.0000000000000007E-2</v>
      </c>
      <c r="E5" s="47">
        <f t="shared" si="0"/>
        <v>5.5097933333333342E-2</v>
      </c>
      <c r="F5" s="48">
        <f t="shared" si="1"/>
        <v>52499.610800000002</v>
      </c>
      <c r="G5" s="48">
        <f>IFERROR(VLOOKUP(B:B,'Portfolio Snapshot'!$A:$L,4,0),0)</f>
        <v>41323.450000000004</v>
      </c>
      <c r="H5" s="49">
        <f t="shared" si="2"/>
        <v>11176.160799999998</v>
      </c>
      <c r="I5" s="47">
        <f t="shared" si="3"/>
        <v>1.4902066666666665E-2</v>
      </c>
      <c r="J5" s="47">
        <f>IFERROR(VLOOKUP(B5,'Daily Change'!A:F,5,FALSE),"")</f>
        <v>-2.7679807134247669E-3</v>
      </c>
      <c r="K5" s="47">
        <f>IFERROR(VLOOKUP(B5,'Portfolio Snapshot'!$A:$L,12,),"")</f>
        <v>0.38144604049233299</v>
      </c>
    </row>
    <row r="6" spans="1:13" x14ac:dyDescent="0.25">
      <c r="A6" s="45" t="s">
        <v>17</v>
      </c>
      <c r="B6" s="46" t="s">
        <v>57</v>
      </c>
      <c r="C6" s="41" t="str" cm="1">
        <f t="array" ref="C6">_xlfn.IFS(I6&gt;0,"Underweight",I6=0,"",I6&lt;0,"Overweight")</f>
        <v>Underweight</v>
      </c>
      <c r="D6" s="47">
        <v>0.06</v>
      </c>
      <c r="E6" s="47">
        <f t="shared" si="0"/>
        <v>1.466256E-2</v>
      </c>
      <c r="F6" s="48">
        <f t="shared" si="1"/>
        <v>44999.666399999995</v>
      </c>
      <c r="G6" s="48">
        <f>IFERROR(VLOOKUP(B:B,'Portfolio Snapshot'!$A:$L,4,0),0)</f>
        <v>10996.92</v>
      </c>
      <c r="H6" s="49">
        <f t="shared" si="2"/>
        <v>34002.746399999996</v>
      </c>
      <c r="I6" s="47">
        <f t="shared" si="3"/>
        <v>4.533744E-2</v>
      </c>
      <c r="J6" s="47">
        <f>IFERROR(VLOOKUP(B6,'Daily Change'!A:F,5,FALSE),"")</f>
        <v>2.5437984655151347E-2</v>
      </c>
      <c r="K6" s="47">
        <f>IFERROR(VLOOKUP(B6,'Portfolio Snapshot'!$A:$L,12,),"")</f>
        <v>0.23186440222773522</v>
      </c>
    </row>
    <row r="7" spans="1:13" x14ac:dyDescent="0.25">
      <c r="A7" s="45" t="s">
        <v>372</v>
      </c>
      <c r="B7" s="46" t="s">
        <v>123</v>
      </c>
      <c r="C7" s="41" t="str" cm="1">
        <f t="array" ref="C7">_xlfn.IFS(I7&gt;0,"Underweight",I7=0,"",I7&lt;0,"Overweight")</f>
        <v>Underweight</v>
      </c>
      <c r="D7" s="47">
        <v>0.06</v>
      </c>
      <c r="E7" s="47">
        <f t="shared" si="0"/>
        <v>0</v>
      </c>
      <c r="F7" s="48">
        <f t="shared" si="1"/>
        <v>44999.666399999995</v>
      </c>
      <c r="G7" s="48">
        <f>IFERROR(VLOOKUP(B:B,'Portfolio Snapshot'!$A:$L,4,0),0)</f>
        <v>0</v>
      </c>
      <c r="H7" s="49">
        <f t="shared" si="2"/>
        <v>44999.666399999995</v>
      </c>
      <c r="I7" s="47">
        <f t="shared" si="3"/>
        <v>0.06</v>
      </c>
      <c r="J7" s="47">
        <f>IFERROR(VLOOKUP(B7,'Daily Change'!A:F,5,FALSE),"")</f>
        <v>-1.2912838341196942E-2</v>
      </c>
      <c r="K7" s="47" t="str">
        <f>IFERROR(VLOOKUP(B7,'Portfolio Snapshot'!$A:$L,12,),"")</f>
        <v/>
      </c>
    </row>
    <row r="8" spans="1:13" x14ac:dyDescent="0.25">
      <c r="A8" s="45" t="s">
        <v>373</v>
      </c>
      <c r="B8" s="46" t="s">
        <v>109</v>
      </c>
      <c r="C8" s="41" t="str" cm="1">
        <f t="array" ref="C8">_xlfn.IFS(I8&gt;0,"Underweight",I8=0,"",I8&lt;0,"Overweight")</f>
        <v>Underweight</v>
      </c>
      <c r="D8" s="47">
        <v>7.0000000000000007E-2</v>
      </c>
      <c r="E8" s="47">
        <f t="shared" si="0"/>
        <v>0</v>
      </c>
      <c r="F8" s="48">
        <f t="shared" si="1"/>
        <v>52499.610800000002</v>
      </c>
      <c r="G8" s="48">
        <f>IFERROR(VLOOKUP(B:B,'Portfolio Snapshot'!$A:$L,4,0),0)</f>
        <v>0</v>
      </c>
      <c r="H8" s="49">
        <f t="shared" si="2"/>
        <v>52499.610800000002</v>
      </c>
      <c r="I8" s="47">
        <f t="shared" si="3"/>
        <v>7.0000000000000007E-2</v>
      </c>
      <c r="J8" s="47">
        <f>IFERROR(VLOOKUP(B8,'Daily Change'!A:F,5,FALSE),"")</f>
        <v>-3.694409591523784E-3</v>
      </c>
      <c r="K8" s="47" t="str">
        <f>IFERROR(VLOOKUP(B8,'Portfolio Snapshot'!$A:$L,12,),"")</f>
        <v/>
      </c>
    </row>
    <row r="9" spans="1:13" x14ac:dyDescent="0.25">
      <c r="A9" s="45" t="s">
        <v>18</v>
      </c>
      <c r="B9" s="46" t="s">
        <v>66</v>
      </c>
      <c r="C9" s="41" t="str" cm="1">
        <f t="array" ref="C9">_xlfn.IFS(I9&gt;0,"Underweight",I9=0,"",I9&lt;0,"Overweight")</f>
        <v>Underweight</v>
      </c>
      <c r="D9" s="47">
        <v>7.0000000000000007E-2</v>
      </c>
      <c r="E9" s="47">
        <f t="shared" si="0"/>
        <v>1.80424E-2</v>
      </c>
      <c r="F9" s="48">
        <f t="shared" si="1"/>
        <v>52499.610800000002</v>
      </c>
      <c r="G9" s="48">
        <f>IFERROR(VLOOKUP(B:B,'Portfolio Snapshot'!$A:$L,4,0),0)</f>
        <v>13531.8</v>
      </c>
      <c r="H9" s="49">
        <f t="shared" si="2"/>
        <v>38967.810800000007</v>
      </c>
      <c r="I9" s="47">
        <f t="shared" si="3"/>
        <v>5.1957600000000007E-2</v>
      </c>
      <c r="J9" s="47">
        <f>IFERROR(VLOOKUP(B9,'Daily Change'!A:F,5,FALSE),"")</f>
        <v>0</v>
      </c>
      <c r="K9" s="47">
        <f>IFERROR(VLOOKUP(B9,'Portfolio Snapshot'!$A:$L,12,),"")</f>
        <v>0.29115424139750523</v>
      </c>
    </row>
    <row r="10" spans="1:13" x14ac:dyDescent="0.25">
      <c r="A10" s="45" t="s">
        <v>19</v>
      </c>
      <c r="B10" s="46" t="s">
        <v>63</v>
      </c>
      <c r="C10" s="41" t="str" cm="1">
        <f t="array" ref="C10">_xlfn.IFS(I10&gt;0,"Underweight",I10=0,"",I10&lt;0,"Overweight")</f>
        <v>Underweight</v>
      </c>
      <c r="D10" s="47">
        <v>0.06</v>
      </c>
      <c r="E10" s="47">
        <f t="shared" si="0"/>
        <v>2.4526880000000001E-2</v>
      </c>
      <c r="F10" s="48">
        <f t="shared" si="1"/>
        <v>44999.666399999995</v>
      </c>
      <c r="G10" s="48">
        <f>IFERROR(VLOOKUP(B:B,'Portfolio Snapshot'!$A:$L,4,0),0)</f>
        <v>18395.16</v>
      </c>
      <c r="H10" s="49">
        <f t="shared" si="2"/>
        <v>26604.506399999995</v>
      </c>
      <c r="I10" s="47">
        <f t="shared" si="3"/>
        <v>3.5473119999999997E-2</v>
      </c>
      <c r="J10" s="47">
        <f>IFERROR(VLOOKUP(B10,'Daily Change'!A:F,5,FALSE),"")</f>
        <v>-1.0491743454064117E-3</v>
      </c>
      <c r="K10" s="47">
        <f>IFERROR(VLOOKUP(B10,'Portfolio Snapshot'!$A:$L,12,),"")</f>
        <v>0.56557854865214197</v>
      </c>
    </row>
    <row r="11" spans="1:13" x14ac:dyDescent="0.25">
      <c r="A11" s="45" t="s">
        <v>374</v>
      </c>
      <c r="B11" s="46" t="s">
        <v>208</v>
      </c>
      <c r="C11" s="41" t="str" cm="1">
        <f t="array" ref="C11">_xlfn.IFS(I11&gt;0,"Underweight",I11=0,"",I11&lt;0,"Overweight")</f>
        <v>Underweight</v>
      </c>
      <c r="D11" s="47">
        <v>0.06</v>
      </c>
      <c r="E11" s="47">
        <f t="shared" si="0"/>
        <v>0</v>
      </c>
      <c r="F11" s="48">
        <f t="shared" si="1"/>
        <v>44999.666399999995</v>
      </c>
      <c r="G11" s="48">
        <f>IFERROR(VLOOKUP(B:B,'Portfolio Snapshot'!$A:$L,4,0),0)</f>
        <v>0</v>
      </c>
      <c r="H11" s="49">
        <f t="shared" si="2"/>
        <v>44999.666399999995</v>
      </c>
      <c r="I11" s="47">
        <f t="shared" si="3"/>
        <v>0.06</v>
      </c>
      <c r="J11" s="47">
        <f>IFERROR(VLOOKUP(B11,'Daily Change'!A:F,5,FALSE),"")</f>
        <v>1.9192553968443438E-3</v>
      </c>
      <c r="K11" s="47" t="str">
        <f>IFERROR(VLOOKUP(B11,'Portfolio Snapshot'!$A:$L,12,),"")</f>
        <v/>
      </c>
    </row>
    <row r="12" spans="1:13" x14ac:dyDescent="0.25">
      <c r="A12" s="45"/>
      <c r="B12" s="46"/>
      <c r="C12" s="50" t="str" cm="1">
        <f t="array" ref="C12">_xlfn.IFS(I12&gt;0,"Underweight",I12=0,"",I12&lt;0,"Overweight")</f>
        <v>Underweight</v>
      </c>
      <c r="D12" s="51">
        <f>SUM(D4:D10)</f>
        <v>0.46</v>
      </c>
      <c r="E12" s="51">
        <f>SUM(E4:E10)</f>
        <v>0.28950737333333332</v>
      </c>
      <c r="F12" s="52">
        <f>SUM(F4:F10)</f>
        <v>344997.4424</v>
      </c>
      <c r="G12" s="52">
        <f>SUM(G4:G10)</f>
        <v>217130.53000000003</v>
      </c>
      <c r="H12" s="53">
        <f t="shared" si="2"/>
        <v>127866.91239999997</v>
      </c>
      <c r="I12" s="51">
        <f t="shared" si="3"/>
        <v>0.1704926266666667</v>
      </c>
      <c r="J12" s="47" t="str">
        <f>IFERROR(VLOOKUP(B12,'Daily Change'!A:F,5,FALSE),"")</f>
        <v/>
      </c>
      <c r="K12" s="47" t="str">
        <f>IFERROR(VLOOKUP(B12,'Portfolio Snapshot'!$A:$L,12,),"")</f>
        <v/>
      </c>
    </row>
    <row r="13" spans="1:13" x14ac:dyDescent="0.25">
      <c r="A13" s="39" t="s">
        <v>375</v>
      </c>
      <c r="B13" s="40"/>
      <c r="C13" s="41"/>
      <c r="D13" s="42"/>
      <c r="E13" s="42"/>
      <c r="F13" s="43"/>
      <c r="G13" s="43"/>
      <c r="H13" s="44"/>
      <c r="I13" s="42"/>
      <c r="J13" s="47" t="str">
        <f>IFERROR(VLOOKUP(B13,'Daily Change'!A:F,5,FALSE),"")</f>
        <v/>
      </c>
      <c r="K13" s="47" t="str">
        <f>IFERROR(VLOOKUP(B13,'Portfolio Snapshot'!$A:$L,12,),"")</f>
        <v/>
      </c>
    </row>
    <row r="14" spans="1:13" x14ac:dyDescent="0.25">
      <c r="A14" s="45" t="s">
        <v>28</v>
      </c>
      <c r="B14" s="46" t="s">
        <v>376</v>
      </c>
      <c r="C14" s="41" t="str" cm="1">
        <f t="array" ref="C14">_xlfn.IFS(I14&gt;0,"Underweight",I14=0,"",I14&lt;0,"Overweight")</f>
        <v>Underweight</v>
      </c>
      <c r="D14" s="47">
        <v>7.0000000000000007E-2</v>
      </c>
      <c r="E14" s="47">
        <f>G14/$G$47</f>
        <v>0</v>
      </c>
      <c r="F14" s="48">
        <f>D14*$F$46</f>
        <v>52499.610800000002</v>
      </c>
      <c r="G14" s="48">
        <f>IFERROR(VLOOKUP(B:B,'Portfolio Snapshot'!$A:$L,4,0),0)</f>
        <v>0</v>
      </c>
      <c r="H14" s="49">
        <f>F14-G14</f>
        <v>52499.610800000002</v>
      </c>
      <c r="I14" s="47">
        <f>D14-E14</f>
        <v>7.0000000000000007E-2</v>
      </c>
      <c r="J14" s="47">
        <f>IFERROR(VLOOKUP(B14,'Daily Change'!A:F,5,FALSE),"")</f>
        <v>0</v>
      </c>
      <c r="K14" s="47" t="str">
        <f>IFERROR(VLOOKUP(B14,'Portfolio Snapshot'!$A:$L,12,),"")</f>
        <v/>
      </c>
    </row>
    <row r="15" spans="1:13" x14ac:dyDescent="0.25">
      <c r="A15" s="45" t="s">
        <v>21</v>
      </c>
      <c r="B15" s="46" t="s">
        <v>59</v>
      </c>
      <c r="C15" s="41" t="str" cm="1">
        <f t="array" ref="C15">_xlfn.IFS(I15&gt;0,"Underweight",I15=0,"",I15&lt;0,"Overweight")</f>
        <v>Underweight</v>
      </c>
      <c r="D15" s="47">
        <v>7.0000000000000007E-2</v>
      </c>
      <c r="E15" s="47">
        <f>G15/$G$47</f>
        <v>6.8057426666666657E-2</v>
      </c>
      <c r="F15" s="48">
        <f>D15*$F$46</f>
        <v>52499.610800000002</v>
      </c>
      <c r="G15" s="48">
        <f>IFERROR(VLOOKUP(B:B,'Portfolio Snapshot'!$A:$L,4,0),0)</f>
        <v>51043.069999999992</v>
      </c>
      <c r="H15" s="49">
        <f>F15-G15</f>
        <v>1456.5408000000098</v>
      </c>
      <c r="I15" s="47">
        <f>D15-E15</f>
        <v>1.94257333333335E-3</v>
      </c>
      <c r="J15" s="47">
        <f>IFERROR(VLOOKUP(B15,'Daily Change'!A:F,5,FALSE),"")</f>
        <v>0</v>
      </c>
      <c r="K15" s="47">
        <f>IFERROR(VLOOKUP(B15,'Portfolio Snapshot'!$A:$L,12,),"")</f>
        <v>0.36090985337119968</v>
      </c>
      <c r="M15" s="98"/>
    </row>
    <row r="16" spans="1:13" x14ac:dyDescent="0.25">
      <c r="A16" s="45"/>
      <c r="B16" s="46"/>
      <c r="C16" s="50" t="str" cm="1">
        <f t="array" ref="C16">_xlfn.IFS(I16&gt;0,"Underweight",I16=0,"",I16&lt;0,"Overweight")</f>
        <v>Underweight</v>
      </c>
      <c r="D16" s="51">
        <f>SUM(D14:D15)</f>
        <v>0.14000000000000001</v>
      </c>
      <c r="E16" s="51">
        <f>SUM(E14:E15)</f>
        <v>6.8057426666666657E-2</v>
      </c>
      <c r="F16" s="52">
        <f>SUM(F14:F15)</f>
        <v>104999.2216</v>
      </c>
      <c r="G16" s="48">
        <f>IFERROR(VLOOKUP(B:B,'Portfolio Snapshot'!$A:$L,4,0),0)</f>
        <v>0</v>
      </c>
      <c r="H16" s="53">
        <f>F16-G16</f>
        <v>104999.2216</v>
      </c>
      <c r="I16" s="51">
        <f>D16-E16</f>
        <v>7.1942573333333357E-2</v>
      </c>
      <c r="J16" s="47" t="str">
        <f>IFERROR(VLOOKUP(B16,'Daily Change'!A:F,5,FALSE),"")</f>
        <v/>
      </c>
      <c r="K16" s="47" t="str">
        <f>IFERROR(VLOOKUP(B16,'Portfolio Snapshot'!$A:$L,12,),"")</f>
        <v/>
      </c>
    </row>
    <row r="17" spans="1:13" x14ac:dyDescent="0.25">
      <c r="A17" s="45"/>
      <c r="B17" s="46"/>
      <c r="C17" s="50"/>
      <c r="D17" s="51"/>
      <c r="E17" s="51"/>
      <c r="F17" s="99"/>
      <c r="G17" s="48"/>
      <c r="H17" s="53"/>
      <c r="I17" s="51"/>
      <c r="J17" s="47"/>
      <c r="K17" s="47" t="str">
        <f>IFERROR(VLOOKUP(B17,'Portfolio Snapshot'!$A:$L,12,),"")</f>
        <v/>
      </c>
    </row>
    <row r="18" spans="1:13" ht="15.75" x14ac:dyDescent="0.25">
      <c r="A18" s="159" t="s">
        <v>377</v>
      </c>
      <c r="B18" s="160"/>
      <c r="C18" s="161"/>
      <c r="D18" s="162">
        <f>D21+D29+D43</f>
        <v>0.37</v>
      </c>
      <c r="E18" s="51"/>
      <c r="F18" s="99"/>
      <c r="G18" s="48"/>
      <c r="H18" s="53"/>
      <c r="I18" s="51"/>
      <c r="J18" s="47" t="str">
        <f>IFERROR(VLOOKUP(B18,'Daily Change'!A:F,5,FALSE),"")</f>
        <v/>
      </c>
      <c r="K18" s="47" t="str">
        <f>IFERROR(VLOOKUP(B18,'Portfolio Snapshot'!$A:$L,12,),"")</f>
        <v/>
      </c>
    </row>
    <row r="19" spans="1:13" x14ac:dyDescent="0.25">
      <c r="A19" s="39" t="s">
        <v>22</v>
      </c>
      <c r="B19" s="40"/>
      <c r="C19" s="41"/>
      <c r="D19" s="54"/>
      <c r="E19" s="54"/>
      <c r="F19" s="55"/>
      <c r="G19" s="48"/>
      <c r="H19" s="56"/>
      <c r="I19" s="54"/>
      <c r="J19" s="47" t="str">
        <f>IFERROR(VLOOKUP(B19,'Daily Change'!A:F,5,FALSE),"")</f>
        <v/>
      </c>
      <c r="K19" s="47" t="str">
        <f>IFERROR(VLOOKUP(B19,'Portfolio Snapshot'!$A:$L,12,),"")</f>
        <v/>
      </c>
    </row>
    <row r="20" spans="1:13" x14ac:dyDescent="0.25">
      <c r="A20" s="45" t="s">
        <v>23</v>
      </c>
      <c r="B20" s="46" t="s">
        <v>75</v>
      </c>
      <c r="C20" s="41" t="str" cm="1">
        <f t="array" ref="C20">_xlfn.IFS(I20&gt;0,"Underweight",I20=0,"",I20&lt;0,"Overweight")</f>
        <v>Overweight</v>
      </c>
      <c r="D20" s="47">
        <v>0.03</v>
      </c>
      <c r="E20" s="47">
        <f>G20/$G$47</f>
        <v>0.3814128</v>
      </c>
      <c r="F20" s="48">
        <f>D20*$F$46</f>
        <v>22499.833199999997</v>
      </c>
      <c r="G20" s="48">
        <f>IFERROR(VLOOKUP(B:B,'Portfolio Snapshot'!$A:$L,4,0),0)</f>
        <v>286059.59999999998</v>
      </c>
      <c r="H20" s="49">
        <f>F20-G20</f>
        <v>-263559.76679999998</v>
      </c>
      <c r="I20" s="47">
        <f>D20-E20</f>
        <v>-0.35141279999999997</v>
      </c>
      <c r="J20" s="47">
        <f>IFERROR(VLOOKUP(B20,'Daily Change'!A:F,5,FALSE),"")</f>
        <v>1.6992353440947738E-4</v>
      </c>
      <c r="K20" s="47">
        <f>IFERROR(VLOOKUP(B20,'Portfolio Snapshot'!$A:$L,12,),"")</f>
        <v>3.2998883202134876E-3</v>
      </c>
    </row>
    <row r="21" spans="1:13" x14ac:dyDescent="0.25">
      <c r="A21" s="45"/>
      <c r="B21" s="46"/>
      <c r="C21" s="50" t="str" cm="1">
        <f t="array" ref="C21">_xlfn.IFS(I21&gt;0,"Underweight",I21=0,"",I21&lt;0,"Overweight")</f>
        <v>Overweight</v>
      </c>
      <c r="D21" s="51">
        <f>SUM(D20:D20)</f>
        <v>0.03</v>
      </c>
      <c r="E21" s="51">
        <f>SUM(E20:E20)</f>
        <v>0.3814128</v>
      </c>
      <c r="F21" s="52">
        <f>SUM(F20:F20)</f>
        <v>22499.833199999997</v>
      </c>
      <c r="G21" s="52">
        <f>SUM(G20:G20)</f>
        <v>286059.59999999998</v>
      </c>
      <c r="H21" s="57">
        <f>F21-G21</f>
        <v>-263559.76679999998</v>
      </c>
      <c r="I21" s="51">
        <f>D21-E21</f>
        <v>-0.35141279999999997</v>
      </c>
      <c r="J21" s="47" t="str">
        <f>IFERROR(VLOOKUP(B21,'Daily Change'!A:F,5,FALSE),"")</f>
        <v/>
      </c>
      <c r="K21" s="47" t="str">
        <f>IFERROR(VLOOKUP(B21,'Portfolio Snapshot'!$A:$L,12,),"")</f>
        <v/>
      </c>
    </row>
    <row r="22" spans="1:13" x14ac:dyDescent="0.25">
      <c r="A22" s="39" t="s">
        <v>24</v>
      </c>
      <c r="B22" s="40"/>
      <c r="C22" s="41"/>
      <c r="D22" s="54"/>
      <c r="E22" s="54"/>
      <c r="F22" s="55"/>
      <c r="G22" s="48"/>
      <c r="H22" s="56"/>
      <c r="I22" s="54"/>
      <c r="J22" s="47" t="str">
        <f>IFERROR(VLOOKUP(B22,'Daily Change'!A:F,5,FALSE),"")</f>
        <v/>
      </c>
      <c r="K22" s="47" t="str">
        <f>IFERROR(VLOOKUP(B22,'Portfolio Snapshot'!$A:$L,12,),"")</f>
        <v/>
      </c>
    </row>
    <row r="23" spans="1:13" x14ac:dyDescent="0.25">
      <c r="A23" s="45" t="s">
        <v>26</v>
      </c>
      <c r="B23" s="46" t="s">
        <v>78</v>
      </c>
      <c r="C23" s="41" t="str" cm="1">
        <f t="array" ref="C23">_xlfn.IFS(I23&gt;0,"Underweight",I23=0,"",I23&lt;0,"Overweight")</f>
        <v>Underweight</v>
      </c>
      <c r="D23" s="47">
        <v>0.03</v>
      </c>
      <c r="E23" s="47">
        <f t="shared" ref="E23:E28" si="4">G23/$G$47</f>
        <v>2.2072000000000001E-2</v>
      </c>
      <c r="F23" s="48">
        <f t="shared" ref="F23:F28" si="5">D23*$F$46</f>
        <v>22499.833199999997</v>
      </c>
      <c r="G23" s="48">
        <f>IFERROR(VLOOKUP(B:B,'Portfolio Snapshot'!$A:$L,4,0),0)</f>
        <v>16554</v>
      </c>
      <c r="H23" s="49">
        <f t="shared" ref="H23:H29" si="6">F23-G23</f>
        <v>5945.8331999999973</v>
      </c>
      <c r="I23" s="47">
        <f t="shared" ref="I23:I29" si="7">D23-E23</f>
        <v>7.9279999999999975E-3</v>
      </c>
      <c r="J23" s="47">
        <f>IFERROR(VLOOKUP(B23,'Daily Change'!A:F,5,FALSE),"")</f>
        <v>9.5275903136165185E-2</v>
      </c>
      <c r="K23" s="47">
        <f>IFERROR(VLOOKUP(B23,'Portfolio Snapshot'!$A:$L,12,),"")</f>
        <v>-0.61062110097742239</v>
      </c>
    </row>
    <row r="24" spans="1:13" x14ac:dyDescent="0.25">
      <c r="A24" s="45" t="s">
        <v>25</v>
      </c>
      <c r="B24" s="46" t="s">
        <v>76</v>
      </c>
      <c r="C24" s="41" t="str" cm="1">
        <f t="array" ref="C24">_xlfn.IFS(I24&gt;0,"Underweight",I24=0,"",I24&lt;0,"Overweight")</f>
        <v>Underweight</v>
      </c>
      <c r="D24" s="47">
        <v>0.03</v>
      </c>
      <c r="E24" s="47">
        <f t="shared" si="4"/>
        <v>1.7500000000000002E-2</v>
      </c>
      <c r="F24" s="48">
        <f t="shared" si="5"/>
        <v>22499.833199999997</v>
      </c>
      <c r="G24" s="48">
        <f>IFERROR(VLOOKUP(B:B,'Portfolio Snapshot'!$A:$L,4,0),0)</f>
        <v>13125</v>
      </c>
      <c r="H24" s="49">
        <f t="shared" si="6"/>
        <v>9374.8331999999973</v>
      </c>
      <c r="I24" s="47">
        <f t="shared" si="7"/>
        <v>1.2499999999999997E-2</v>
      </c>
      <c r="J24" s="47">
        <f>IFERROR(VLOOKUP(B24,'Daily Change'!A:F,5,FALSE),"")</f>
        <v>0</v>
      </c>
      <c r="K24" s="47">
        <f>IFERROR(VLOOKUP(B24,'Portfolio Snapshot'!$A:$L,12,),"")</f>
        <v>-0.57765378229138509</v>
      </c>
    </row>
    <row r="25" spans="1:13" x14ac:dyDescent="0.25">
      <c r="A25" s="45" t="s">
        <v>27</v>
      </c>
      <c r="B25" s="46" t="s">
        <v>73</v>
      </c>
      <c r="C25" s="41" t="str" cm="1">
        <f t="array" ref="C25">_xlfn.IFS(I25&gt;0,"Underweight",I25=0,"",I25&lt;0,"Overweight")</f>
        <v>Underweight</v>
      </c>
      <c r="D25" s="47">
        <v>0.03</v>
      </c>
      <c r="E25" s="47">
        <f t="shared" si="4"/>
        <v>2.50656E-2</v>
      </c>
      <c r="F25" s="48">
        <f t="shared" si="5"/>
        <v>22499.833199999997</v>
      </c>
      <c r="G25" s="48">
        <f>IFERROR(VLOOKUP(B:B,'Portfolio Snapshot'!$A:$L,4,0),0)</f>
        <v>18799.2</v>
      </c>
      <c r="H25" s="49">
        <f t="shared" si="6"/>
        <v>3700.6331999999966</v>
      </c>
      <c r="I25" s="47">
        <f t="shared" si="7"/>
        <v>4.9343999999999985E-3</v>
      </c>
      <c r="J25" s="47">
        <f>IFERROR(VLOOKUP(B25,'Daily Change'!A:F,5,FALSE),"")</f>
        <v>1.8463138733584739E-2</v>
      </c>
      <c r="K25" s="47">
        <f>IFERROR(VLOOKUP(B25,'Portfolio Snapshot'!$A:$L,12,),"")</f>
        <v>-0.22954098360655734</v>
      </c>
    </row>
    <row r="26" spans="1:13" x14ac:dyDescent="0.25">
      <c r="A26" s="45" t="s">
        <v>378</v>
      </c>
      <c r="B26" s="46" t="s">
        <v>128</v>
      </c>
      <c r="C26" s="41" t="str" cm="1">
        <f t="array" ref="C26">_xlfn.IFS(I26&gt;0,"Underweight",I26=0,"",I26&lt;0,"Overweight")</f>
        <v>Underweight</v>
      </c>
      <c r="D26" s="47">
        <v>0.03</v>
      </c>
      <c r="E26" s="47">
        <f t="shared" si="4"/>
        <v>0</v>
      </c>
      <c r="F26" s="48">
        <f t="shared" si="5"/>
        <v>22499.833199999997</v>
      </c>
      <c r="G26" s="48">
        <f>IFERROR(VLOOKUP(B:B,'Portfolio Snapshot'!$A:$L,4,0),0)</f>
        <v>0</v>
      </c>
      <c r="H26" s="49">
        <f t="shared" si="6"/>
        <v>22499.833199999997</v>
      </c>
      <c r="I26" s="47">
        <f t="shared" si="7"/>
        <v>0.03</v>
      </c>
      <c r="J26" s="47">
        <f>IFERROR(VLOOKUP(B26,'Daily Change'!A:F,5,FALSE),"")</f>
        <v>-1.2368889768454405E-2</v>
      </c>
      <c r="K26" s="47" t="str">
        <f>IFERROR(VLOOKUP(B26,'Portfolio Snapshot'!$A:$L,12,),"")</f>
        <v/>
      </c>
    </row>
    <row r="27" spans="1:13" x14ac:dyDescent="0.25">
      <c r="A27" s="45" t="s">
        <v>379</v>
      </c>
      <c r="B27" s="46" t="s">
        <v>139</v>
      </c>
      <c r="C27" s="41" t="str" cm="1">
        <f t="array" ref="C27">_xlfn.IFS(I27&gt;0,"Underweight",I27=0,"",I27&lt;0,"Overweight")</f>
        <v>Underweight</v>
      </c>
      <c r="D27" s="47">
        <v>0.02</v>
      </c>
      <c r="E27" s="47">
        <f t="shared" si="4"/>
        <v>0</v>
      </c>
      <c r="F27" s="48">
        <f t="shared" si="5"/>
        <v>14999.888799999999</v>
      </c>
      <c r="G27" s="48">
        <f>IFERROR(VLOOKUP(B:B,'Portfolio Snapshot'!$A:$L,4,0),0)</f>
        <v>0</v>
      </c>
      <c r="H27" s="49">
        <f t="shared" si="6"/>
        <v>14999.888799999999</v>
      </c>
      <c r="I27" s="47">
        <f t="shared" si="7"/>
        <v>0.02</v>
      </c>
      <c r="J27" s="47" t="str">
        <f>IFERROR(VLOOKUP(B27,'Daily Change'!A:F,5,FALSE),"")</f>
        <v/>
      </c>
      <c r="K27" s="47" t="str">
        <f>IFERROR(VLOOKUP(B27,'Portfolio Snapshot'!$A:$L,12,),"")</f>
        <v/>
      </c>
    </row>
    <row r="28" spans="1:13" x14ac:dyDescent="0.25">
      <c r="A28" s="45" t="s">
        <v>29</v>
      </c>
      <c r="B28" s="46" t="s">
        <v>68</v>
      </c>
      <c r="C28" s="41" t="str" cm="1">
        <f t="array" ref="C28">_xlfn.IFS(I28&gt;0,"Underweight",I28=0,"",I28&lt;0,"Overweight")</f>
        <v>Underweight</v>
      </c>
      <c r="D28" s="47">
        <v>0.02</v>
      </c>
      <c r="E28" s="47">
        <f t="shared" si="4"/>
        <v>1.71024E-2</v>
      </c>
      <c r="F28" s="48">
        <f t="shared" si="5"/>
        <v>14999.888799999999</v>
      </c>
      <c r="G28" s="48">
        <f>IFERROR(VLOOKUP(B:B,'Portfolio Snapshot'!$A:$L,4,0),0)</f>
        <v>12826.800000000001</v>
      </c>
      <c r="H28" s="49">
        <f t="shared" si="6"/>
        <v>2173.0887999999977</v>
      </c>
      <c r="I28" s="47">
        <f t="shared" si="7"/>
        <v>2.8976000000000002E-3</v>
      </c>
      <c r="J28" s="47">
        <f>IFERROR(VLOOKUP(B28,'Daily Change'!A:F,5,FALSE),"")</f>
        <v>-8.1839438815276555E-3</v>
      </c>
      <c r="K28" s="47">
        <f>IFERROR(VLOOKUP(B28,'Portfolio Snapshot'!$A:$L,12,),"")</f>
        <v>0.27057019546700417</v>
      </c>
    </row>
    <row r="29" spans="1:13" x14ac:dyDescent="0.25">
      <c r="A29" s="45"/>
      <c r="B29" s="46"/>
      <c r="C29" s="50" t="str" cm="1">
        <f t="array" ref="C29">_xlfn.IFS(I29&gt;0,"Underweight",I29=0,"",I29&lt;0,"Overweight")</f>
        <v>Underweight</v>
      </c>
      <c r="D29" s="51">
        <f>SUM(D23:D28)</f>
        <v>0.15999999999999998</v>
      </c>
      <c r="E29" s="51">
        <f>SUM(E23:E28)</f>
        <v>8.1740000000000007E-2</v>
      </c>
      <c r="F29" s="52">
        <f>SUM(F23:F28)</f>
        <v>119999.11039999999</v>
      </c>
      <c r="G29" s="52">
        <f>SUM(G23:G28)</f>
        <v>61305</v>
      </c>
      <c r="H29" s="57">
        <f t="shared" si="6"/>
        <v>58694.11039999999</v>
      </c>
      <c r="I29" s="51">
        <f t="shared" si="7"/>
        <v>7.8259999999999968E-2</v>
      </c>
      <c r="J29" s="47" t="str">
        <f>IFERROR(VLOOKUP(B29,'Daily Change'!A:F,5,FALSE),"")</f>
        <v/>
      </c>
      <c r="K29" s="47" t="str">
        <f>IFERROR(VLOOKUP(B29,'Portfolio Snapshot'!$A:$L,12,),"")</f>
        <v/>
      </c>
    </row>
    <row r="30" spans="1:13" x14ac:dyDescent="0.25">
      <c r="A30" s="39" t="s">
        <v>380</v>
      </c>
      <c r="B30" s="40"/>
      <c r="C30" s="41"/>
      <c r="D30" s="54"/>
      <c r="E30" s="54"/>
      <c r="F30" s="55"/>
      <c r="G30" s="48">
        <f>IFERROR(VLOOKUP(B:B,'Portfolio Snapshot'!$A:$L,4,0),0)</f>
        <v>0</v>
      </c>
      <c r="H30" s="56"/>
      <c r="I30" s="54"/>
      <c r="J30" s="47" t="str">
        <f>IFERROR(VLOOKUP(B30,'Daily Change'!A:F,5,FALSE),"")</f>
        <v/>
      </c>
      <c r="K30" s="47" t="str">
        <f>IFERROR(VLOOKUP(B30,'Portfolio Snapshot'!$A:$L,12,),"")</f>
        <v/>
      </c>
      <c r="M30" s="98">
        <f>F21+F29+F43</f>
        <v>254998.10959999997</v>
      </c>
    </row>
    <row r="31" spans="1:13" x14ac:dyDescent="0.25">
      <c r="A31" s="45"/>
      <c r="B31" s="46" t="s">
        <v>178</v>
      </c>
      <c r="C31" s="41" t="str" cm="1">
        <f t="array" ref="C31">_xlfn.IFS(I31&gt;0,"Underweight",I31=0,"",I31&lt;0,"Overweight")</f>
        <v>Underweight</v>
      </c>
      <c r="D31" s="47">
        <v>0.02</v>
      </c>
      <c r="E31" s="47">
        <f t="shared" ref="E31:E42" si="8">G31/$G$47</f>
        <v>0</v>
      </c>
      <c r="F31" s="48">
        <f t="shared" ref="F31:F42" si="9">D31*$F$46</f>
        <v>14999.888799999999</v>
      </c>
      <c r="G31" s="48">
        <f>IFERROR(VLOOKUP(B:B,'Portfolio Snapshot'!$A:$L,4,0),0)</f>
        <v>0</v>
      </c>
      <c r="H31" s="49">
        <f t="shared" ref="H31:H43" si="10">F31-G31</f>
        <v>14999.888799999999</v>
      </c>
      <c r="I31" s="47">
        <f t="shared" ref="I31:I43" si="11">D31-E31</f>
        <v>0.02</v>
      </c>
      <c r="J31" s="47">
        <f>IFERROR(VLOOKUP(B31,'Daily Change'!A:F,5,FALSE),"")</f>
        <v>-0.18677407268639945</v>
      </c>
      <c r="K31" s="47" t="str">
        <f>IFERROR(VLOOKUP(B31,'Portfolio Snapshot'!$A:$L,12,),"")</f>
        <v/>
      </c>
    </row>
    <row r="32" spans="1:13" x14ac:dyDescent="0.25">
      <c r="A32" s="45" t="s">
        <v>381</v>
      </c>
      <c r="B32" s="46" t="s">
        <v>132</v>
      </c>
      <c r="C32" s="41" t="str" cm="1">
        <f t="array" ref="C32">_xlfn.IFS(I32&gt;0,"Underweight",I32=0,"",I32&lt;0,"Overweight")</f>
        <v>Underweight</v>
      </c>
      <c r="D32" s="47">
        <v>0.02</v>
      </c>
      <c r="E32" s="47">
        <f t="shared" si="8"/>
        <v>0</v>
      </c>
      <c r="F32" s="48">
        <f t="shared" si="9"/>
        <v>14999.888799999999</v>
      </c>
      <c r="G32" s="48">
        <f>IFERROR(VLOOKUP(B:B,'Portfolio Snapshot'!$A:$L,4,0),0)</f>
        <v>0</v>
      </c>
      <c r="H32" s="49">
        <f t="shared" si="10"/>
        <v>14999.888799999999</v>
      </c>
      <c r="I32" s="47">
        <f t="shared" si="11"/>
        <v>0.02</v>
      </c>
      <c r="J32" s="47">
        <f>IFERROR(VLOOKUP(B32,'Daily Change'!A:F,5,FALSE),"")</f>
        <v>-9.2081031307544858E-4</v>
      </c>
      <c r="K32" s="47" t="str">
        <f>IFERROR(VLOOKUP(B32,'Portfolio Snapshot'!$A:$L,12,),"")</f>
        <v/>
      </c>
    </row>
    <row r="33" spans="1:11" x14ac:dyDescent="0.25">
      <c r="A33" s="45" t="s">
        <v>31</v>
      </c>
      <c r="B33" s="46" t="s">
        <v>69</v>
      </c>
      <c r="C33" s="41" t="str" cm="1">
        <f t="array" ref="C33">_xlfn.IFS(I33&gt;0,"Underweight",I33=0,"",I33&lt;0,"Overweight")</f>
        <v>Overweight</v>
      </c>
      <c r="D33" s="47">
        <v>0.02</v>
      </c>
      <c r="E33" s="47">
        <f t="shared" si="8"/>
        <v>2.5410933333333333E-2</v>
      </c>
      <c r="F33" s="48">
        <f t="shared" si="9"/>
        <v>14999.888799999999</v>
      </c>
      <c r="G33" s="48">
        <f>IFERROR(VLOOKUP(B:B,'Portfolio Snapshot'!$A:$L,4,0),0)</f>
        <v>19058.2</v>
      </c>
      <c r="H33" s="49">
        <f t="shared" si="10"/>
        <v>-4058.3112000000019</v>
      </c>
      <c r="I33" s="47">
        <f t="shared" si="11"/>
        <v>-5.4109333333333329E-3</v>
      </c>
      <c r="J33" s="47">
        <f>IFERROR(VLOOKUP(B33,'Daily Change'!A:F,5,FALSE),"")</f>
        <v>-1.4304052814964052E-3</v>
      </c>
      <c r="K33" s="47">
        <f>IFERROR(VLOOKUP(B33,'Portfolio Snapshot'!$A:$L,12,),"")</f>
        <v>0.2649236593595935</v>
      </c>
    </row>
    <row r="34" spans="1:11" x14ac:dyDescent="0.25">
      <c r="A34" s="45" t="s">
        <v>32</v>
      </c>
      <c r="B34" s="46" t="s">
        <v>72</v>
      </c>
      <c r="C34" s="41" t="str" cm="1">
        <f t="array" ref="C34">_xlfn.IFS(I34&gt;0,"Underweight",I34=0,"",I34&lt;0,"Overweight")</f>
        <v>Overweight</v>
      </c>
      <c r="D34" s="47">
        <v>0.03</v>
      </c>
      <c r="E34" s="47">
        <f t="shared" si="8"/>
        <v>6.7932000000000006E-2</v>
      </c>
      <c r="F34" s="48">
        <f t="shared" si="9"/>
        <v>22499.833199999997</v>
      </c>
      <c r="G34" s="48">
        <f>IFERROR(VLOOKUP(B:B,'Portfolio Snapshot'!$A:$L,4,0),0)</f>
        <v>50949</v>
      </c>
      <c r="H34" s="49">
        <f t="shared" si="10"/>
        <v>-28449.166800000003</v>
      </c>
      <c r="I34" s="47">
        <f t="shared" si="11"/>
        <v>-3.7932000000000007E-2</v>
      </c>
      <c r="J34" s="47">
        <f>IFERROR(VLOOKUP(B34,'Daily Change'!A:F,5,FALSE),"")</f>
        <v>-7.19773554387384E-2</v>
      </c>
      <c r="K34" s="47">
        <f>IFERROR(VLOOKUP(B34,'Portfolio Snapshot'!$A:$L,12,),"")</f>
        <v>3.4329449023508873E-2</v>
      </c>
    </row>
    <row r="35" spans="1:11" x14ac:dyDescent="0.25">
      <c r="A35" s="45" t="s">
        <v>33</v>
      </c>
      <c r="B35" s="46" t="s">
        <v>71</v>
      </c>
      <c r="C35" s="41" t="str" cm="1">
        <f t="array" ref="C35">_xlfn.IFS(I35&gt;0,"Underweight",I35=0,"",I35&lt;0,"Overweight")</f>
        <v>Underweight</v>
      </c>
      <c r="D35" s="47">
        <v>0.03</v>
      </c>
      <c r="E35" s="47">
        <f t="shared" si="8"/>
        <v>1.9918826666666667E-2</v>
      </c>
      <c r="F35" s="48">
        <f t="shared" si="9"/>
        <v>22499.833199999997</v>
      </c>
      <c r="G35" s="48">
        <f>IFERROR(VLOOKUP(B:B,'Portfolio Snapshot'!$A:$L,4,0),0)</f>
        <v>14939.119999999999</v>
      </c>
      <c r="H35" s="49">
        <f t="shared" si="10"/>
        <v>7560.7131999999983</v>
      </c>
      <c r="I35" s="47">
        <f t="shared" si="11"/>
        <v>1.0081173333333332E-2</v>
      </c>
      <c r="J35" s="47">
        <f>IFERROR(VLOOKUP(B35,'Daily Change'!A:F,5,FALSE),"")</f>
        <v>-1.2401242570261428E-2</v>
      </c>
      <c r="K35" s="47">
        <f>IFERROR(VLOOKUP(B35,'Portfolio Snapshot'!$A:$L,12,),"")</f>
        <v>-0.25653827013038721</v>
      </c>
    </row>
    <row r="36" spans="1:11" x14ac:dyDescent="0.25">
      <c r="A36" s="45" t="s">
        <v>382</v>
      </c>
      <c r="B36" s="46" t="s">
        <v>126</v>
      </c>
      <c r="C36" s="41" t="str" cm="1">
        <f t="array" ref="C36">_xlfn.IFS(I36&gt;0,"Underweight",I36=0,"",I36&lt;0,"Overweight")</f>
        <v>Underweight</v>
      </c>
      <c r="D36" s="47">
        <v>0.03</v>
      </c>
      <c r="E36" s="47">
        <f t="shared" si="8"/>
        <v>0</v>
      </c>
      <c r="F36" s="48">
        <f t="shared" si="9"/>
        <v>22499.833199999997</v>
      </c>
      <c r="G36" s="48">
        <f>IFERROR(VLOOKUP(B:B,'Portfolio Snapshot'!$A:$L,4,0),0)</f>
        <v>0</v>
      </c>
      <c r="H36" s="49">
        <f t="shared" si="10"/>
        <v>22499.833199999997</v>
      </c>
      <c r="I36" s="47">
        <f t="shared" si="11"/>
        <v>0.03</v>
      </c>
      <c r="J36" s="47">
        <f>IFERROR(VLOOKUP(B36,'Daily Change'!A:F,5,FALSE),"")</f>
        <v>0.11158762886597939</v>
      </c>
      <c r="K36" s="47" t="str">
        <f>IFERROR(VLOOKUP(B36,'Portfolio Snapshot'!$A:$L,12,),"")</f>
        <v/>
      </c>
    </row>
    <row r="37" spans="1:11" x14ac:dyDescent="0.25">
      <c r="A37" s="45" t="s">
        <v>34</v>
      </c>
      <c r="B37" s="46" t="s">
        <v>70</v>
      </c>
      <c r="C37" s="41" t="str" cm="1">
        <f t="array" ref="C37">_xlfn.IFS(I37&gt;0,"Underweight",I37=0,"",I37&lt;0,"Overweight")</f>
        <v>Underweight</v>
      </c>
      <c r="D37" s="47">
        <v>0.03</v>
      </c>
      <c r="E37" s="47">
        <f t="shared" si="8"/>
        <v>2.2348266666666661E-2</v>
      </c>
      <c r="F37" s="48">
        <f t="shared" si="9"/>
        <v>22499.833199999997</v>
      </c>
      <c r="G37" s="48">
        <f>IFERROR(VLOOKUP(B:B,'Portfolio Snapshot'!$A:$L,4,0),0)</f>
        <v>16761.199999999997</v>
      </c>
      <c r="H37" s="49">
        <f t="shared" si="10"/>
        <v>5738.6332000000002</v>
      </c>
      <c r="I37" s="47">
        <f t="shared" si="11"/>
        <v>7.6517333333333375E-3</v>
      </c>
      <c r="J37" s="47">
        <f>IFERROR(VLOOKUP(B37,'Daily Change'!A:F,5,FALSE),"")</f>
        <v>1.4281218986759603E-2</v>
      </c>
      <c r="K37" s="47">
        <f>IFERROR(VLOOKUP(B37,'Portfolio Snapshot'!$A:$L,12,),"")</f>
        <v>-8.1074561403508938E-2</v>
      </c>
    </row>
    <row r="38" spans="1:11" x14ac:dyDescent="0.25">
      <c r="A38" s="45" t="s">
        <v>26</v>
      </c>
      <c r="B38" s="46" t="s">
        <v>78</v>
      </c>
      <c r="C38" s="41" t="str" cm="1">
        <f t="array" ref="C38">_xlfn.IFS(I38&gt;0,"Underweight",I38=0,"",I38&lt;0,"Overweight")</f>
        <v>Underweight</v>
      </c>
      <c r="D38" s="47">
        <v>0.03</v>
      </c>
      <c r="E38" s="47">
        <f t="shared" si="8"/>
        <v>2.2072000000000001E-2</v>
      </c>
      <c r="F38" s="48">
        <f t="shared" si="9"/>
        <v>22499.833199999997</v>
      </c>
      <c r="G38" s="48">
        <f>IFERROR(VLOOKUP(B:B,'Portfolio Snapshot'!$A:$L,4,0),0)</f>
        <v>16554</v>
      </c>
      <c r="H38" s="49">
        <f t="shared" si="10"/>
        <v>5945.8331999999973</v>
      </c>
      <c r="I38" s="47">
        <f t="shared" si="11"/>
        <v>7.9279999999999975E-3</v>
      </c>
      <c r="J38" s="47">
        <f>IFERROR(VLOOKUP(B38,'Daily Change'!A:F,5,FALSE),"")</f>
        <v>9.5275903136165185E-2</v>
      </c>
      <c r="K38" s="47">
        <f>IFERROR(VLOOKUP(B38,'Portfolio Snapshot'!$A:$L,12,),"")</f>
        <v>-0.61062110097742239</v>
      </c>
    </row>
    <row r="39" spans="1:11" x14ac:dyDescent="0.25">
      <c r="A39" s="45" t="s">
        <v>383</v>
      </c>
      <c r="B39" s="46" t="s">
        <v>199</v>
      </c>
      <c r="C39" s="41" t="str" cm="1">
        <f t="array" ref="C39">_xlfn.IFS(I39&gt;0,"Underweight",I39=0,"",I39&lt;0,"Overweight")</f>
        <v>Underweight</v>
      </c>
      <c r="D39" s="47">
        <v>0.03</v>
      </c>
      <c r="E39" s="47">
        <f t="shared" si="8"/>
        <v>0</v>
      </c>
      <c r="F39" s="48">
        <f t="shared" si="9"/>
        <v>22499.833199999997</v>
      </c>
      <c r="G39" s="48">
        <f>IFERROR(VLOOKUP(B:B,'Portfolio Snapshot'!$A:$L,4,0),0)</f>
        <v>0</v>
      </c>
      <c r="H39" s="49">
        <f t="shared" si="10"/>
        <v>22499.833199999997</v>
      </c>
      <c r="I39" s="47">
        <f t="shared" si="11"/>
        <v>0.03</v>
      </c>
      <c r="J39" s="47">
        <f>IFERROR(VLOOKUP(B39,'Daily Change'!A:F,5,FALSE),"")</f>
        <v>-2.4844720496893791E-3</v>
      </c>
      <c r="K39" s="47" t="str">
        <f>IFERROR(VLOOKUP(B39,'Portfolio Snapshot'!$A:$L,12,),"")</f>
        <v/>
      </c>
    </row>
    <row r="40" spans="1:11" x14ac:dyDescent="0.25">
      <c r="A40" s="45" t="s">
        <v>30</v>
      </c>
      <c r="B40" s="46" t="s">
        <v>74</v>
      </c>
      <c r="C40" s="41" t="str" cm="1">
        <f t="array" ref="C40">_xlfn.IFS(I40&gt;0,"Underweight",I40=0,"",I40&lt;0,"Overweight")</f>
        <v>Overweight</v>
      </c>
      <c r="D40" s="47">
        <v>0.03</v>
      </c>
      <c r="E40" s="47">
        <f t="shared" si="8"/>
        <v>4.8256E-2</v>
      </c>
      <c r="F40" s="48">
        <f t="shared" si="9"/>
        <v>22499.833199999997</v>
      </c>
      <c r="G40" s="48">
        <f>IFERROR(VLOOKUP(B:B,'Portfolio Snapshot'!$A:$L,4,0),0)</f>
        <v>36192</v>
      </c>
      <c r="H40" s="49">
        <f t="shared" si="10"/>
        <v>-13692.166800000003</v>
      </c>
      <c r="I40" s="47">
        <f t="shared" si="11"/>
        <v>-1.8256000000000001E-2</v>
      </c>
      <c r="J40" s="47">
        <f>IFERROR(VLOOKUP(B40,'Daily Change'!A:F,5,FALSE),"")</f>
        <v>2.4485092899322325E-3</v>
      </c>
      <c r="K40" s="47">
        <f>IFERROR(VLOOKUP(B40,'Portfolio Snapshot'!$A:$L,12,),"")</f>
        <v>-6.5602974208039649E-2</v>
      </c>
    </row>
    <row r="41" spans="1:11" x14ac:dyDescent="0.25">
      <c r="A41" s="45" t="s">
        <v>384</v>
      </c>
      <c r="B41" s="46" t="s">
        <v>141</v>
      </c>
      <c r="C41" s="41" t="str" cm="1">
        <f t="array" ref="C41">_xlfn.IFS(I41&gt;0,"Underweight",I41=0,"",I41&lt;0,"Overweight")</f>
        <v>Underweight</v>
      </c>
      <c r="D41" s="47">
        <v>0.03</v>
      </c>
      <c r="E41" s="47">
        <f t="shared" si="8"/>
        <v>0</v>
      </c>
      <c r="F41" s="48">
        <f t="shared" si="9"/>
        <v>22499.833199999997</v>
      </c>
      <c r="G41" s="48">
        <f>IFERROR(VLOOKUP(B:B,'Portfolio Snapshot'!$A:$L,4,0),0)</f>
        <v>0</v>
      </c>
      <c r="H41" s="49">
        <f t="shared" si="10"/>
        <v>22499.833199999997</v>
      </c>
      <c r="I41" s="47">
        <f t="shared" si="11"/>
        <v>0.03</v>
      </c>
      <c r="J41" s="47">
        <f>IFERROR(VLOOKUP(B41,'Daily Change'!A:F,5,FALSE),"")</f>
        <v>6.558028616852063E-3</v>
      </c>
      <c r="K41" s="47" t="str">
        <f>IFERROR(VLOOKUP(B41,'Portfolio Snapshot'!$A:$L,12,),"")</f>
        <v/>
      </c>
    </row>
    <row r="42" spans="1:11" x14ac:dyDescent="0.25">
      <c r="A42" s="45" t="s">
        <v>385</v>
      </c>
      <c r="B42" s="46" t="s">
        <v>104</v>
      </c>
      <c r="C42" s="41" t="str" cm="1">
        <f t="array" ref="C42">_xlfn.IFS(I42&gt;0,"Underweight",I42=0,"",I42&lt;0,"Overweight")</f>
        <v>Underweight</v>
      </c>
      <c r="D42" s="47">
        <v>0.03</v>
      </c>
      <c r="E42" s="47">
        <f t="shared" si="8"/>
        <v>0</v>
      </c>
      <c r="F42" s="48">
        <f t="shared" si="9"/>
        <v>22499.833199999997</v>
      </c>
      <c r="G42" s="48">
        <f>IFERROR(VLOOKUP(B:B,'Portfolio Snapshot'!$A:$L,4,0),0)</f>
        <v>0</v>
      </c>
      <c r="H42" s="49">
        <f t="shared" si="10"/>
        <v>22499.833199999997</v>
      </c>
      <c r="I42" s="47">
        <f t="shared" si="11"/>
        <v>0.03</v>
      </c>
      <c r="J42" s="47">
        <f>IFERROR(VLOOKUP(B42,'Daily Change'!A:F,5,FALSE),"")</f>
        <v>5.4628478531129065E-3</v>
      </c>
      <c r="K42" s="47" t="str">
        <f>IFERROR(VLOOKUP(B42,'Portfolio Snapshot'!$A:$L,12,),"")</f>
        <v/>
      </c>
    </row>
    <row r="43" spans="1:11" x14ac:dyDescent="0.25">
      <c r="A43" s="45"/>
      <c r="B43" s="46"/>
      <c r="C43" s="50" t="str" cm="1">
        <f t="array" ref="C43">_xlfn.IFS(I43&gt;0,"Underweight",I43=0,"",I43&lt;0,"Overweight")</f>
        <v>Underweight</v>
      </c>
      <c r="D43" s="51">
        <f>SUM(D31:D37)</f>
        <v>0.18</v>
      </c>
      <c r="E43" s="51">
        <f>SUM(E31:E36)</f>
        <v>0.11326176</v>
      </c>
      <c r="F43" s="52">
        <f>SUM(F31:F36)</f>
        <v>112499.16599999998</v>
      </c>
      <c r="G43" s="52">
        <f>SUM(G31:G36)</f>
        <v>84946.319999999992</v>
      </c>
      <c r="H43" s="57">
        <f t="shared" si="10"/>
        <v>27552.84599999999</v>
      </c>
      <c r="I43" s="51">
        <f t="shared" si="11"/>
        <v>6.673823999999999E-2</v>
      </c>
      <c r="J43" s="47" t="str">
        <f>IFERROR(VLOOKUP(B43,'Daily Change'!A:F,5,FALSE),"")</f>
        <v/>
      </c>
      <c r="K43" s="47" t="str">
        <f>IFERROR(VLOOKUP(B43,'Portfolio Snapshot'!$A:$L,12,),"")</f>
        <v/>
      </c>
    </row>
    <row r="44" spans="1:11" x14ac:dyDescent="0.25">
      <c r="A44" s="39" t="s">
        <v>35</v>
      </c>
      <c r="B44" s="46"/>
      <c r="C44" s="41"/>
      <c r="D44" s="47"/>
      <c r="E44" s="47"/>
      <c r="F44" s="48"/>
      <c r="G44" s="48"/>
      <c r="H44" s="49"/>
      <c r="I44" s="47"/>
      <c r="J44" s="47" t="str">
        <f>IFERROR(VLOOKUP(B44,'Daily Change'!A:F,5,FALSE),"")</f>
        <v/>
      </c>
      <c r="K44" s="47" t="str">
        <f>IFERROR(VLOOKUP(B44,'Portfolio Snapshot'!$A:$L,12,),"")</f>
        <v/>
      </c>
    </row>
    <row r="45" spans="1:11" x14ac:dyDescent="0.25">
      <c r="A45" s="45" t="s">
        <v>36</v>
      </c>
      <c r="B45" s="46"/>
      <c r="C45" s="41" t="str" cm="1">
        <f t="array" ref="C45">_xlfn.IFS(I45&gt;0,"Underweight",I45=0,"",I45&lt;0,"Overweight")</f>
        <v>Overweight</v>
      </c>
      <c r="D45" s="47">
        <v>0</v>
      </c>
      <c r="E45" s="47">
        <f>G45/$G$47</f>
        <v>0.12053003999999977</v>
      </c>
      <c r="F45" s="48">
        <f>D45*$G$47</f>
        <v>0</v>
      </c>
      <c r="G45" s="48">
        <f>'Portfolio Snapshot'!D20</f>
        <v>90397.529999999824</v>
      </c>
      <c r="H45" s="49">
        <f>F45-G45</f>
        <v>-90397.529999999824</v>
      </c>
      <c r="I45" s="47">
        <f>D45-E45</f>
        <v>-0.12053003999999977</v>
      </c>
      <c r="J45" s="47" t="str">
        <f>IFERROR(VLOOKUP(B45,'Daily Change'!A:F,5,FALSE),"")</f>
        <v/>
      </c>
      <c r="K45" s="47" t="str">
        <f>IFERROR(VLOOKUP(B45,'Portfolio Snapshot'!$A:$L,12,),"")</f>
        <v/>
      </c>
    </row>
    <row r="46" spans="1:11" ht="15.75" thickBot="1" x14ac:dyDescent="0.3">
      <c r="A46" s="58" t="s">
        <v>37</v>
      </c>
      <c r="B46" s="59"/>
      <c r="C46" s="60"/>
      <c r="D46" s="61">
        <f>SUM(D45+D18,D2)</f>
        <v>0.97000000000000008</v>
      </c>
      <c r="E46" s="61">
        <f>SUM(E45,E43,E29,E21,E16,E12)</f>
        <v>1.0545093999999997</v>
      </c>
      <c r="F46" s="62">
        <f>Subscription!C10</f>
        <v>749994.44</v>
      </c>
      <c r="G46" s="172">
        <f>SUM(G45,G43,G29,G21,G16,G12)</f>
        <v>739838.97999999975</v>
      </c>
      <c r="H46" s="62">
        <f>SUM(H45,H43,H29,H21,H16,H12)</f>
        <v>-34844.20639999985</v>
      </c>
      <c r="I46" s="61">
        <f>SUM(I45,I43,I29,I21,I16,I12)</f>
        <v>-8.4509399999999735E-2</v>
      </c>
      <c r="J46" s="59" t="str">
        <f>IFERROR(VLOOKUP(B46,'Daily Change'!$B$1:$E$12,10,FALSE),"")</f>
        <v/>
      </c>
      <c r="K46" s="59" t="str">
        <f>IFERROR(VLOOKUP(B46,'Portfolio Snapshot'!$A:$L,11,),"")</f>
        <v/>
      </c>
    </row>
    <row r="47" spans="1:11" ht="15.75" thickBot="1" x14ac:dyDescent="0.3">
      <c r="G47" s="62">
        <v>750000</v>
      </c>
    </row>
  </sheetData>
  <pageMargins left="0.7" right="0.7" top="0.75" bottom="0.75" header="0.3" footer="0.3"/>
  <pageSetup paperSize="9" scale="69" fitToWidth="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B40F-306E-4E0B-8EBD-022C967F15A3}">
  <dimension ref="A1:F109"/>
  <sheetViews>
    <sheetView zoomScale="101" workbookViewId="0">
      <pane ySplit="1" topLeftCell="A22" activePane="bottomLeft" state="frozen"/>
      <selection pane="bottomLeft" activeCell="B103" sqref="B103"/>
    </sheetView>
  </sheetViews>
  <sheetFormatPr defaultRowHeight="15" x14ac:dyDescent="0.25"/>
  <cols>
    <col min="1" max="1" width="8.5703125" bestFit="1" customWidth="1"/>
    <col min="2" max="2" width="55" bestFit="1" customWidth="1"/>
    <col min="3" max="3" width="13.28515625" bestFit="1" customWidth="1"/>
    <col min="4" max="4" width="14.5703125" bestFit="1" customWidth="1"/>
    <col min="5" max="5" width="12.7109375" bestFit="1" customWidth="1"/>
    <col min="6" max="6" width="8.42578125" bestFit="1" customWidth="1"/>
    <col min="7" max="7" width="8.42578125" customWidth="1"/>
  </cols>
  <sheetData>
    <row r="1" spans="1:6" x14ac:dyDescent="0.25">
      <c r="A1" s="178" t="s">
        <v>38</v>
      </c>
      <c r="B1" s="178" t="s">
        <v>386</v>
      </c>
      <c r="C1" s="179" t="s">
        <v>387</v>
      </c>
      <c r="D1" s="179" t="s">
        <v>388</v>
      </c>
      <c r="E1" s="180" t="s">
        <v>389</v>
      </c>
      <c r="F1" s="180" t="s">
        <v>390</v>
      </c>
    </row>
    <row r="2" spans="1:6" x14ac:dyDescent="0.25">
      <c r="A2" s="181" t="str" cm="1">
        <f t="array" ref="A2">_FV(B2,"Ticker symbol",TRUE)</f>
        <v>GE</v>
      </c>
      <c r="B2" s="181" t="e" vm="1">
        <v>#VALUE!</v>
      </c>
      <c r="C2" s="182" cm="1">
        <f t="array" ref="C2">_FV(B2,"Price")</f>
        <v>374.55</v>
      </c>
      <c r="D2" s="182" cm="1">
        <f t="array" ref="D2">_FV(B2,"Previous close",TRUE)</f>
        <v>381.22</v>
      </c>
      <c r="E2" s="183">
        <f t="shared" ref="E2:E33" si="0">C2/D2 -1</f>
        <v>-1.7496458737736753E-2</v>
      </c>
      <c r="F2" s="182" cm="1">
        <f t="array" ref="F2">_FV(B2,"Beta")</f>
        <v>1.3817999999999999</v>
      </c>
    </row>
    <row r="3" spans="1:6" x14ac:dyDescent="0.25">
      <c r="A3" s="181" t="str" cm="1">
        <f t="array" ref="A3">_FV(B3,"Ticker symbol",TRUE)</f>
        <v>ITB</v>
      </c>
      <c r="B3" s="181" t="e" vm="2">
        <v>#VALUE!</v>
      </c>
      <c r="C3" s="182" cm="1">
        <f t="array" ref="C3">_FV(B3,"Price")</f>
        <v>98.53</v>
      </c>
      <c r="D3" s="182" cm="1">
        <f t="array" ref="D3">_FV(B3,"Previous close",TRUE)</f>
        <v>100.88</v>
      </c>
      <c r="E3" s="183">
        <f t="shared" si="0"/>
        <v>-2.3295003965106975E-2</v>
      </c>
      <c r="F3" s="182" cm="1">
        <f t="array" ref="F3">_FV(B3,"Beta")</f>
        <v>1.369</v>
      </c>
    </row>
    <row r="4" spans="1:6" x14ac:dyDescent="0.25">
      <c r="A4" s="181" t="str" cm="1">
        <f t="array" ref="A4">_FV(B4,"Ticker symbol",TRUE)</f>
        <v>FISV</v>
      </c>
      <c r="B4" s="181" t="e" vm="3">
        <v>#VALUE!</v>
      </c>
      <c r="C4" s="182" cm="1">
        <f t="array" ref="C4">_FV(B4,"Price")</f>
        <v>54.11</v>
      </c>
      <c r="D4" s="182" cm="1">
        <f t="array" ref="D4">_FV(B4,"Previous close",TRUE)</f>
        <v>54.11</v>
      </c>
      <c r="E4" s="183">
        <f t="shared" si="0"/>
        <v>0</v>
      </c>
      <c r="F4" s="182" cm="1">
        <f t="array" ref="F4">_FV(B4,"Beta")</f>
        <v>0.79749999999999999</v>
      </c>
    </row>
    <row r="5" spans="1:6" x14ac:dyDescent="0.25">
      <c r="A5" s="181" t="str" cm="1">
        <f t="array" ref="A5">_FV(B5,"Ticker symbol",TRUE)</f>
        <v>OXY</v>
      </c>
      <c r="B5" s="181" t="e" vm="4">
        <v>#VALUE!</v>
      </c>
      <c r="C5" s="182" cm="1">
        <f t="array" ref="C5">_FV(B5,"Price")</f>
        <v>56.04</v>
      </c>
      <c r="D5" s="182" cm="1">
        <f t="array" ref="D5">_FV(B5,"Previous close",TRUE)</f>
        <v>53.81</v>
      </c>
      <c r="E5" s="183">
        <f t="shared" si="0"/>
        <v>4.1442111131759773E-2</v>
      </c>
      <c r="F5" s="182" cm="1">
        <f t="array" ref="F5">_FV(B5,"Beta")</f>
        <v>0.14660000000000001</v>
      </c>
    </row>
    <row r="6" spans="1:6" x14ac:dyDescent="0.25">
      <c r="A6" s="181" t="str" cm="1">
        <f t="array" ref="A6">_FV(B6,"Ticker symbol",TRUE)</f>
        <v>APH</v>
      </c>
      <c r="B6" s="181" t="e" vm="5">
        <v>#VALUE!</v>
      </c>
      <c r="C6" s="182" cm="1">
        <f t="array" ref="C6">_FV(B6,"Price")</f>
        <v>170.61</v>
      </c>
      <c r="D6" s="182" cm="1">
        <f t="array" ref="D6">_FV(B6,"Previous close",TRUE)</f>
        <v>172.24</v>
      </c>
      <c r="E6" s="183">
        <f t="shared" si="0"/>
        <v>-9.4635392475614921E-3</v>
      </c>
      <c r="F6" s="182" cm="1">
        <f t="array" ref="F6">_FV(B6,"Beta")</f>
        <v>1.2535000000000001</v>
      </c>
    </row>
    <row r="7" spans="1:6" x14ac:dyDescent="0.25">
      <c r="A7" s="181" t="str" cm="1">
        <f t="array" ref="A7">_FV(B7,"Ticker symbol",TRUE)</f>
        <v>XLE</v>
      </c>
      <c r="B7" s="181" t="e" vm="6">
        <v>#VALUE!</v>
      </c>
      <c r="C7" s="182" cm="1">
        <f t="array" ref="C7">_FV(B7,"Price")</f>
        <v>58.16</v>
      </c>
      <c r="D7" s="182" cm="1">
        <f t="array" ref="D7">_FV(B7,"Previous close",TRUE)</f>
        <v>57.31</v>
      </c>
      <c r="E7" s="183">
        <f t="shared" si="0"/>
        <v>1.4831617518757501E-2</v>
      </c>
      <c r="F7" s="182" cm="1">
        <f t="array" ref="F7">_FV(B7,"Beta")</f>
        <v>1.08</v>
      </c>
    </row>
    <row r="8" spans="1:6" x14ac:dyDescent="0.25">
      <c r="A8" s="181" t="str" cm="1">
        <f t="array" ref="A8">_FV(B8,"Ticker symbol",TRUE)</f>
        <v>NVDA</v>
      </c>
      <c r="B8" s="181" t="e" vm="7">
        <v>#VALUE!</v>
      </c>
      <c r="C8" s="182" cm="1">
        <f t="array" ref="C8">_FV(B8,"Price")</f>
        <v>218.99</v>
      </c>
      <c r="D8" s="182" cm="1">
        <f t="array" ref="D8">_FV(B8,"Previous close",TRUE)</f>
        <v>219.22</v>
      </c>
      <c r="E8" s="183">
        <f t="shared" si="0"/>
        <v>-1.0491743454064117E-3</v>
      </c>
      <c r="F8" s="182" cm="1">
        <f t="array" ref="F8">_FV(B8,"Beta")</f>
        <v>2.2139000000000002</v>
      </c>
    </row>
    <row r="9" spans="1:6" x14ac:dyDescent="0.25">
      <c r="A9" s="181" t="str" cm="1">
        <f t="array" ref="A9">_FV(B9,"Ticker symbol",TRUE)</f>
        <v>DHR</v>
      </c>
      <c r="B9" s="181" t="e" vm="8">
        <v>#VALUE!</v>
      </c>
      <c r="C9" s="182" cm="1">
        <f t="array" ref="C9">_FV(B9,"Price")</f>
        <v>199.98</v>
      </c>
      <c r="D9" s="182" cm="1">
        <f t="array" ref="D9">_FV(B9,"Previous close",TRUE)</f>
        <v>199.66</v>
      </c>
      <c r="E9" s="183">
        <f t="shared" si="0"/>
        <v>1.6027246318741639E-3</v>
      </c>
      <c r="F9" s="182" cm="1">
        <f t="array" ref="F9">_FV(B9,"Beta")</f>
        <v>0.77310000000000001</v>
      </c>
    </row>
    <row r="10" spans="1:6" x14ac:dyDescent="0.25">
      <c r="A10" s="181" t="str" cm="1">
        <f t="array" ref="A10">_FV(B10,"Ticker symbol",TRUE)</f>
        <v>XLU</v>
      </c>
      <c r="B10" s="181" t="e" vm="9">
        <v>#VALUE!</v>
      </c>
      <c r="C10" s="182" cm="1">
        <f t="array" ref="C10">_FV(B10,"Price")</f>
        <v>43.38</v>
      </c>
      <c r="D10" s="182" cm="1">
        <f t="array" ref="D10">_FV(B10,"Previous close",TRUE)</f>
        <v>43.66</v>
      </c>
      <c r="E10" s="183">
        <f t="shared" si="0"/>
        <v>-6.4131928538706529E-3</v>
      </c>
      <c r="F10" s="182" cm="1">
        <f t="array" ref="F10">_FV(B10,"Beta")</f>
        <v>0.99790000000000001</v>
      </c>
    </row>
    <row r="11" spans="1:6" x14ac:dyDescent="0.25">
      <c r="A11" s="181" t="str" cm="1">
        <f t="array" ref="A11">_FV(B11,"Ticker symbol",TRUE)</f>
        <v>BRK.B</v>
      </c>
      <c r="B11" s="181" t="e" vm="10">
        <v>#VALUE!</v>
      </c>
      <c r="C11" s="182" cm="1">
        <f t="array" ref="C11">_FV(B11,"Price")</f>
        <v>524.61</v>
      </c>
      <c r="D11" s="182" cm="1">
        <f t="array" ref="D11">_FV(B11,"Previous close",TRUE)</f>
        <v>518.85</v>
      </c>
      <c r="E11" s="183">
        <f t="shared" si="0"/>
        <v>1.1101474414570767E-2</v>
      </c>
      <c r="F11" s="182" cm="1">
        <f t="array" ref="F11">_FV(B11,"Beta")</f>
        <v>0.60560000000000003</v>
      </c>
    </row>
    <row r="12" spans="1:6" x14ac:dyDescent="0.25">
      <c r="A12" s="181" t="str" cm="1">
        <f t="array" ref="A12">_FV(B12,"Ticker symbol",TRUE)</f>
        <v>OTIS</v>
      </c>
      <c r="B12" s="181" t="e" vm="11">
        <v>#VALUE!</v>
      </c>
      <c r="C12" s="182" cm="1">
        <f t="array" ref="C12">_FV(B12,"Price")</f>
        <v>73.83</v>
      </c>
      <c r="D12" s="182" cm="1">
        <f t="array" ref="D12">_FV(B12,"Previous close",TRUE)</f>
        <v>73.099999999999994</v>
      </c>
      <c r="E12" s="183">
        <f t="shared" si="0"/>
        <v>9.9863201094392284E-3</v>
      </c>
      <c r="F12" s="182" cm="1">
        <f t="array" ref="F12">_FV(B12,"Beta")</f>
        <v>0.87870000000000004</v>
      </c>
    </row>
    <row r="13" spans="1:6" x14ac:dyDescent="0.25">
      <c r="A13" s="181" t="str" cm="1">
        <f t="array" ref="A13">_FV(B13,"Ticker symbol",TRUE)</f>
        <v>V</v>
      </c>
      <c r="B13" s="181" t="e" vm="12">
        <v>#VALUE!</v>
      </c>
      <c r="C13" s="182" cm="1">
        <f t="array" ref="C13">_FV(B13,"Price")</f>
        <v>370.47</v>
      </c>
      <c r="D13" s="182" cm="1">
        <f t="array" ref="D13">_FV(B13,"Previous close",TRUE)</f>
        <v>368.54</v>
      </c>
      <c r="E13" s="183">
        <f t="shared" si="0"/>
        <v>5.2368806642426602E-3</v>
      </c>
      <c r="F13" s="182" cm="1">
        <f t="array" ref="F13">_FV(B13,"Beta")</f>
        <v>0.75580000000000003</v>
      </c>
    </row>
    <row r="14" spans="1:6" x14ac:dyDescent="0.25">
      <c r="A14" s="181" t="str" cm="1">
        <f t="array" ref="A14">_FV(B14,"Ticker symbol",TRUE)</f>
        <v>IJR</v>
      </c>
      <c r="B14" s="181" t="e" vm="13">
        <v>#VALUE!</v>
      </c>
      <c r="C14" s="182" cm="1">
        <f t="array" ref="C14">_FV(B14,"Price")</f>
        <v>147.82</v>
      </c>
      <c r="D14" s="182" cm="1">
        <f t="array" ref="D14">_FV(B14,"Previous close",TRUE)</f>
        <v>148.94</v>
      </c>
      <c r="E14" s="183">
        <f t="shared" si="0"/>
        <v>-7.5198066335437908E-3</v>
      </c>
      <c r="F14" s="182" cm="1">
        <f t="array" ref="F14">_FV(B14,"Beta")</f>
        <v>0.99960000000000004</v>
      </c>
    </row>
    <row r="15" spans="1:6" x14ac:dyDescent="0.25">
      <c r="A15" s="181" t="str" cm="1">
        <f t="array" ref="A15">_FV(B15,"Ticker symbol",TRUE)</f>
        <v>HWM</v>
      </c>
      <c r="B15" s="181" t="e" vm="14">
        <v>#VALUE!</v>
      </c>
      <c r="C15" s="182" cm="1">
        <f t="array" ref="C15">_FV(B15,"Price")</f>
        <v>289.72000000000003</v>
      </c>
      <c r="D15" s="182" cm="1">
        <f t="array" ref="D15">_FV(B15,"Previous close",TRUE)</f>
        <v>291.42</v>
      </c>
      <c r="E15" s="183">
        <f t="shared" si="0"/>
        <v>-5.8335049070070699E-3</v>
      </c>
      <c r="F15" s="182" cm="1">
        <f t="array" ref="F15">_FV(B15,"Beta")</f>
        <v>1.2057</v>
      </c>
    </row>
    <row r="16" spans="1:6" x14ac:dyDescent="0.25">
      <c r="A16" s="181" t="str" cm="1">
        <f t="array" ref="A16">_FV(B16,"Ticker symbol",TRUE)</f>
        <v>JPM</v>
      </c>
      <c r="B16" s="181" t="e" vm="15">
        <v>#VALUE!</v>
      </c>
      <c r="C16" s="182" cm="1">
        <f t="array" ref="C16">_FV(B16,"Price")</f>
        <v>356.3</v>
      </c>
      <c r="D16" s="182" cm="1">
        <f t="array" ref="D16">_FV(B16,"Previous close",TRUE)</f>
        <v>359.24</v>
      </c>
      <c r="E16" s="183">
        <f t="shared" si="0"/>
        <v>-8.1839438815276555E-3</v>
      </c>
      <c r="F16" s="182" cm="1">
        <f t="array" ref="F16">_FV(B16,"Beta")</f>
        <v>0.97499999999999998</v>
      </c>
    </row>
    <row r="17" spans="1:6" x14ac:dyDescent="0.25">
      <c r="A17" s="181" t="str" cm="1">
        <f t="array" ref="A17">_FV(B17,"Ticker symbol",TRUE)</f>
        <v>CL</v>
      </c>
      <c r="B17" s="181" t="e" vm="16">
        <v>#VALUE!</v>
      </c>
      <c r="C17" s="182" cm="1">
        <f t="array" ref="C17">_FV(B17,"Price")</f>
        <v>93</v>
      </c>
      <c r="D17" s="182" cm="1">
        <f t="array" ref="D17">_FV(B17,"Previous close",TRUE)</f>
        <v>93.28</v>
      </c>
      <c r="E17" s="183">
        <f t="shared" si="0"/>
        <v>-3.0017152658662338E-3</v>
      </c>
      <c r="F17" s="182" cm="1">
        <f t="array" ref="F17">_FV(B17,"Beta")</f>
        <v>0.32879999999999998</v>
      </c>
    </row>
    <row r="18" spans="1:6" x14ac:dyDescent="0.25">
      <c r="A18" s="181" t="str" cm="1">
        <f t="array" ref="A18">_FV(B18,"Ticker symbol",TRUE)</f>
        <v>SPY</v>
      </c>
      <c r="B18" s="181" t="e" vm="17">
        <v>#VALUE!</v>
      </c>
      <c r="C18" s="182" cm="1">
        <f t="array" ref="C18">_FV(B18,"Price")</f>
        <v>768.56</v>
      </c>
      <c r="D18" s="182" cm="1">
        <f t="array" ref="D18">_FV(B18,"Previous close",TRUE)</f>
        <v>769.79</v>
      </c>
      <c r="E18" s="183">
        <f t="shared" si="0"/>
        <v>-1.5978383715039568E-3</v>
      </c>
      <c r="F18" s="182" cm="1">
        <f t="array" ref="F18">_FV(B18,"Beta")</f>
        <v>0.99880000000000002</v>
      </c>
    </row>
    <row r="19" spans="1:6" x14ac:dyDescent="0.25">
      <c r="A19" s="181" t="str" cm="1">
        <f t="array" ref="A19">_FV(B19,"Ticker symbol",TRUE)</f>
        <v>IWM</v>
      </c>
      <c r="B19" s="181" t="e" vm="18">
        <v>#VALUE!</v>
      </c>
      <c r="C19" s="182" cm="1">
        <f t="array" ref="C19">_FV(B19,"Price")</f>
        <v>298.25</v>
      </c>
      <c r="D19" s="182" cm="1">
        <f t="array" ref="D19">_FV(B19,"Previous close",TRUE)</f>
        <v>298.25</v>
      </c>
      <c r="E19" s="183">
        <f t="shared" si="0"/>
        <v>0</v>
      </c>
      <c r="F19" s="182" cm="1">
        <f t="array" ref="F19">_FV(B19,"Beta")</f>
        <v>0.99950000000000006</v>
      </c>
    </row>
    <row r="20" spans="1:6" x14ac:dyDescent="0.25">
      <c r="A20" s="181" t="str" cm="1">
        <f t="array" ref="A20">_FV(B20,"Ticker symbol",TRUE)</f>
        <v>HYG</v>
      </c>
      <c r="B20" s="181" t="e" vm="19">
        <v>#VALUE!</v>
      </c>
      <c r="C20" s="182" cm="1">
        <f t="array" ref="C20">_FV(B20,"Price")</f>
        <v>79.459999999999994</v>
      </c>
      <c r="D20" s="182" cm="1">
        <f t="array" ref="D20">_FV(B20,"Previous close",TRUE)</f>
        <v>79.52</v>
      </c>
      <c r="E20" s="183">
        <f t="shared" si="0"/>
        <v>-7.5452716297785827E-4</v>
      </c>
      <c r="F20" s="182" cm="1">
        <f t="array" ref="F20">_FV(B20,"Beta")</f>
        <v>1.0330999999999999</v>
      </c>
    </row>
    <row r="21" spans="1:6" x14ac:dyDescent="0.25">
      <c r="A21" s="181" t="str" cm="1">
        <f t="array" ref="A21">_FV(B21,"Ticker symbol",TRUE)</f>
        <v>LQD</v>
      </c>
      <c r="B21" s="181" t="e" vm="20">
        <v>#VALUE!</v>
      </c>
      <c r="C21" s="182" cm="1">
        <f t="array" ref="C21">_FV(B21,"Price")</f>
        <v>106.36</v>
      </c>
      <c r="D21" s="182" cm="1">
        <f t="array" ref="D21">_FV(B21,"Previous close",TRUE)</f>
        <v>106.36</v>
      </c>
      <c r="E21" s="183">
        <f t="shared" si="0"/>
        <v>0</v>
      </c>
      <c r="F21" s="182" cm="1">
        <f t="array" ref="F21">_FV(B21,"Beta")</f>
        <v>1.2605999999999999</v>
      </c>
    </row>
    <row r="22" spans="1:6" x14ac:dyDescent="0.25">
      <c r="A22" s="181" t="str" cm="1">
        <f t="array" ref="A22">_FV(B22,"Ticker symbol",TRUE)</f>
        <v>EWZ</v>
      </c>
      <c r="B22" s="181" t="e" vm="21">
        <v>#VALUE!</v>
      </c>
      <c r="C22" s="182" cm="1">
        <f t="array" ref="C22">_FV(B22,"Price")</f>
        <v>35.81</v>
      </c>
      <c r="D22" s="182" cm="1">
        <f t="array" ref="D22">_FV(B22,"Previous close",TRUE)</f>
        <v>36.11</v>
      </c>
      <c r="E22" s="183">
        <f t="shared" si="0"/>
        <v>-8.3079479368595166E-3</v>
      </c>
      <c r="F22" s="182" cm="1">
        <f t="array" ref="F22">_FV(B22,"Beta")</f>
        <v>1.1168</v>
      </c>
    </row>
    <row r="23" spans="1:6" x14ac:dyDescent="0.25">
      <c r="A23" s="181" t="str" cm="1">
        <f t="array" ref="A23">_FV(B23,"Ticker symbol",TRUE)</f>
        <v>TLT</v>
      </c>
      <c r="B23" s="181" t="e" vm="22">
        <v>#VALUE!</v>
      </c>
      <c r="C23" s="182" cm="1">
        <f t="array" ref="C23">_FV(B23,"Price")</f>
        <v>82.52</v>
      </c>
      <c r="D23" s="182" cm="1">
        <f t="array" ref="D23">_FV(B23,"Previous close",TRUE)</f>
        <v>83</v>
      </c>
      <c r="E23" s="183">
        <f t="shared" si="0"/>
        <v>-5.7831325301205272E-3</v>
      </c>
      <c r="F23" s="182" cm="1">
        <f t="array" ref="F23">_FV(B23,"Beta")</f>
        <v>1.1073999999999999</v>
      </c>
    </row>
    <row r="24" spans="1:6" x14ac:dyDescent="0.25">
      <c r="A24" s="181" t="str" cm="1">
        <f t="array" ref="A24">_FV(B24,"Ticker symbol",TRUE)</f>
        <v>QQQ</v>
      </c>
      <c r="B24" s="181" t="e" vm="23">
        <v>#VALUE!</v>
      </c>
      <c r="C24" s="182" cm="1">
        <f t="array" ref="C24">_FV(B24,"Price")</f>
        <v>714.65</v>
      </c>
      <c r="D24" s="182" cm="1">
        <f t="array" ref="D24">_FV(B24,"Previous close",TRUE)</f>
        <v>717.3</v>
      </c>
      <c r="E24" s="183">
        <f t="shared" si="0"/>
        <v>-3.694409591523784E-3</v>
      </c>
      <c r="F24" s="182" cm="1">
        <f t="array" ref="F24">_FV(B24,"Beta")</f>
        <v>1.0278</v>
      </c>
    </row>
    <row r="25" spans="1:6" x14ac:dyDescent="0.25">
      <c r="A25" s="181" t="str" cm="1">
        <f t="array" ref="A25">_FV(B25,"Ticker symbol",TRUE)</f>
        <v>NEAR</v>
      </c>
      <c r="B25" s="181" t="e" vm="24">
        <v>#VALUE!</v>
      </c>
      <c r="C25" s="182" cm="1">
        <f t="array" ref="C25">_FV(B25,"Price")</f>
        <v>50.445</v>
      </c>
      <c r="D25" s="182" cm="1">
        <f t="array" ref="D25">_FV(B25,"Previous close",TRUE)</f>
        <v>50.47</v>
      </c>
      <c r="E25" s="183">
        <f t="shared" si="0"/>
        <v>-4.9534376857540696E-4</v>
      </c>
      <c r="F25" s="182" cm="1">
        <f t="array" ref="F25">_FV(B25,"Beta")</f>
        <v>0.99260000000000004</v>
      </c>
    </row>
    <row r="26" spans="1:6" x14ac:dyDescent="0.25">
      <c r="A26" s="181" t="str" cm="1">
        <f t="array" ref="A26">_FV(B26,"Ticker symbol",TRUE)</f>
        <v>SHV</v>
      </c>
      <c r="B26" s="181" t="e" vm="25">
        <v>#VALUE!</v>
      </c>
      <c r="C26" s="182" cm="1">
        <f t="array" ref="C26">_FV(B26,"Price")</f>
        <v>110.11</v>
      </c>
      <c r="D26" s="182" cm="1">
        <f t="array" ref="D26">_FV(B26,"Previous close",TRUE)</f>
        <v>110.1</v>
      </c>
      <c r="E26" s="183">
        <f t="shared" si="0"/>
        <v>9.0826521344178346E-5</v>
      </c>
      <c r="F26" s="182" cm="1">
        <f t="array" ref="F26">_FV(B26,"Beta")</f>
        <v>1.0750999999999999</v>
      </c>
    </row>
    <row r="27" spans="1:6" x14ac:dyDescent="0.25">
      <c r="A27" s="181" t="str" cm="1">
        <f t="array" ref="A27">_FV(B27,"Ticker symbol",TRUE)</f>
        <v>MORT</v>
      </c>
      <c r="B27" s="181" t="e" vm="26">
        <v>#VALUE!</v>
      </c>
      <c r="C27" s="182" cm="1">
        <f t="array" ref="C27">_FV(B27,"Price")</f>
        <v>9.68</v>
      </c>
      <c r="D27" s="182" cm="1">
        <f t="array" ref="D27">_FV(B27,"Previous close",TRUE)</f>
        <v>9.7100000000000009</v>
      </c>
      <c r="E27" s="183">
        <f t="shared" si="0"/>
        <v>-3.08959835221434E-3</v>
      </c>
      <c r="F27" s="182" cm="1">
        <f t="array" ref="F27">_FV(B27,"Beta")</f>
        <v>0.86499999999999999</v>
      </c>
    </row>
    <row r="28" spans="1:6" x14ac:dyDescent="0.25">
      <c r="A28" s="181" t="str" cm="1">
        <f t="array" ref="A28">_FV(B28,"Ticker symbol",TRUE)</f>
        <v>XLC</v>
      </c>
      <c r="B28" s="181" t="e" vm="27">
        <v>#VALUE!</v>
      </c>
      <c r="C28" s="182" cm="1">
        <f t="array" ref="C28">_FV(B28,"Price")</f>
        <v>111.18</v>
      </c>
      <c r="D28" s="182" cm="1">
        <f t="array" ref="D28">_FV(B28,"Previous close",TRUE)</f>
        <v>111.18</v>
      </c>
      <c r="E28" s="183">
        <f t="shared" si="0"/>
        <v>0</v>
      </c>
      <c r="F28" s="182" cm="1">
        <f t="array" ref="F28">_FV(B28,"Beta")</f>
        <v>0.86080000000000001</v>
      </c>
    </row>
    <row r="29" spans="1:6" x14ac:dyDescent="0.25">
      <c r="A29" s="181" t="str" cm="1">
        <f t="array" ref="A29">_FV(B29,"Ticker symbol",TRUE)</f>
        <v>AGNC</v>
      </c>
      <c r="B29" s="181" t="e" vm="28">
        <v>#VALUE!</v>
      </c>
      <c r="C29" s="182" cm="1">
        <f t="array" ref="C29">_FV(B29,"Price")</f>
        <v>10.61</v>
      </c>
      <c r="D29" s="182" cm="1">
        <f t="array" ref="D29">_FV(B29,"Previous close",TRUE)</f>
        <v>10.67</v>
      </c>
      <c r="E29" s="183">
        <f t="shared" si="0"/>
        <v>-5.623242736644829E-3</v>
      </c>
      <c r="F29" s="182" cm="1">
        <f t="array" ref="F29">_FV(B29,"Beta")</f>
        <v>1.3008</v>
      </c>
    </row>
    <row r="30" spans="1:6" x14ac:dyDescent="0.25">
      <c r="A30" s="181" t="str" cm="1">
        <f t="array" ref="A30">_FV(B30,"Ticker symbol",TRUE)</f>
        <v>UNP</v>
      </c>
      <c r="B30" s="181" t="e" vm="29">
        <v>#VALUE!</v>
      </c>
      <c r="C30" s="182" cm="1">
        <f t="array" ref="C30">_FV(B30,"Price")</f>
        <v>295.38</v>
      </c>
      <c r="D30" s="182" cm="1">
        <f t="array" ref="D30">_FV(B30,"Previous close",TRUE)</f>
        <v>295.54000000000002</v>
      </c>
      <c r="E30" s="183">
        <f t="shared" si="0"/>
        <v>-5.4138187724173115E-4</v>
      </c>
      <c r="F30" s="182" cm="1">
        <f t="array" ref="F30">_FV(B30,"Beta")</f>
        <v>0.96279999999999999</v>
      </c>
    </row>
    <row r="31" spans="1:6" x14ac:dyDescent="0.25">
      <c r="A31" s="181" t="str" cm="1">
        <f t="array" ref="A31">_FV(B31,"Ticker symbol",TRUE)</f>
        <v>T</v>
      </c>
      <c r="B31" s="181" t="e" vm="30">
        <v>#VALUE!</v>
      </c>
      <c r="C31" s="182" cm="1">
        <f t="array" ref="C31">_FV(B31,"Price")</f>
        <v>23.71</v>
      </c>
      <c r="D31" s="182" cm="1">
        <f t="array" ref="D31">_FV(B31,"Previous close",TRUE)</f>
        <v>23.06</v>
      </c>
      <c r="E31" s="183">
        <f t="shared" si="0"/>
        <v>2.8187337380745969E-2</v>
      </c>
      <c r="F31" s="182" cm="1">
        <f t="array" ref="F31">_FV(B31,"Beta")</f>
        <v>0.20899999999999999</v>
      </c>
    </row>
    <row r="32" spans="1:6" x14ac:dyDescent="0.25">
      <c r="A32" s="181" t="str" cm="1">
        <f t="array" ref="A32">_FV(B32,"Ticker symbol",TRUE)</f>
        <v>TSM</v>
      </c>
      <c r="B32" s="181" t="e" vm="31">
        <v>#VALUE!</v>
      </c>
      <c r="C32" s="182" cm="1">
        <f t="array" ref="C32">_FV(B32,"Price")</f>
        <v>418.2</v>
      </c>
      <c r="D32" s="182" cm="1">
        <f t="array" ref="D32">_FV(B32,"Previous close",TRUE)</f>
        <v>414</v>
      </c>
      <c r="E32" s="183">
        <f t="shared" si="0"/>
        <v>1.0144927536231751E-2</v>
      </c>
      <c r="F32" s="182" cm="1">
        <f t="array" ref="F32">_FV(B32,"Beta")</f>
        <v>1.3914</v>
      </c>
    </row>
    <row r="33" spans="1:6" x14ac:dyDescent="0.25">
      <c r="A33" s="181" t="str" cm="1">
        <f t="array" ref="A33">_FV(B33,"Ticker symbol",TRUE)</f>
        <v>EWW</v>
      </c>
      <c r="B33" s="181" t="e" vm="32">
        <v>#VALUE!</v>
      </c>
      <c r="C33" s="182" cm="1">
        <f t="array" ref="C33">_FV(B33,"Price")</f>
        <v>76.63</v>
      </c>
      <c r="D33" s="182" cm="1">
        <f t="array" ref="D33">_FV(B33,"Previous close",TRUE)</f>
        <v>76.69</v>
      </c>
      <c r="E33" s="183">
        <f t="shared" si="0"/>
        <v>-7.8237058286612093E-4</v>
      </c>
      <c r="F33" s="182" cm="1">
        <f t="array" ref="F33">_FV(B33,"Beta")</f>
        <v>0.80049999999999999</v>
      </c>
    </row>
    <row r="34" spans="1:6" x14ac:dyDescent="0.25">
      <c r="A34" s="181" t="str" cm="1">
        <f t="array" ref="A34">_FV(B34,"Ticker symbol",TRUE)</f>
        <v>ABR</v>
      </c>
      <c r="B34" s="181" t="e" vm="33">
        <v>#VALUE!</v>
      </c>
      <c r="C34" s="182" cm="1">
        <f t="array" ref="C34">_FV(B34,"Price")</f>
        <v>5.13</v>
      </c>
      <c r="D34" s="182" cm="1">
        <f t="array" ref="D34">_FV(B34,"Previous close",TRUE)</f>
        <v>5.17</v>
      </c>
      <c r="E34" s="183">
        <f t="shared" ref="E34:E64" si="1">C34/D34 -1</f>
        <v>-7.7369439071567347E-3</v>
      </c>
      <c r="F34" s="182" cm="1">
        <f t="array" ref="F34">_FV(B34,"Beta")</f>
        <v>1.1245000000000001</v>
      </c>
    </row>
    <row r="35" spans="1:6" x14ac:dyDescent="0.25">
      <c r="A35" s="181" t="str" cm="1">
        <f t="array" ref="A35">_FV(B35,"Ticker symbol",TRUE)</f>
        <v>COPX</v>
      </c>
      <c r="B35" s="181" t="e" vm="34">
        <v>#VALUE!</v>
      </c>
      <c r="C35" s="182" cm="1">
        <f t="array" ref="C35">_FV(B35,"Price")</f>
        <v>86.09</v>
      </c>
      <c r="D35" s="182" cm="1">
        <f t="array" ref="D35">_FV(B35,"Previous close",TRUE)</f>
        <v>86.72</v>
      </c>
      <c r="E35" s="183">
        <f t="shared" si="1"/>
        <v>-7.2647601476014678E-3</v>
      </c>
      <c r="F35" s="182" cm="1">
        <f t="array" ref="F35">_FV(B35,"Beta")</f>
        <v>1.4092</v>
      </c>
    </row>
    <row r="36" spans="1:6" x14ac:dyDescent="0.25">
      <c r="A36" s="181" t="str" cm="1">
        <f t="array" ref="A36">_FV(B36,"Ticker symbol",TRUE)</f>
        <v>VOT</v>
      </c>
      <c r="B36" s="173" t="e" vm="35">
        <v>#VALUE!</v>
      </c>
      <c r="C36" s="182" cm="1">
        <f t="array" ref="C36">_FV(B36,"Price")</f>
        <v>302.02999999999997</v>
      </c>
      <c r="D36" s="182" cm="1">
        <f t="array" ref="D36">_FV(B36,"Previous close",TRUE)</f>
        <v>302.02999999999997</v>
      </c>
      <c r="E36" s="183">
        <f t="shared" si="1"/>
        <v>0</v>
      </c>
      <c r="F36" s="182" cm="1">
        <f t="array" ref="F36">_FV(B36,"Beta")</f>
        <v>0.92469999999999997</v>
      </c>
    </row>
    <row r="37" spans="1:6" x14ac:dyDescent="0.25">
      <c r="A37" s="181"/>
      <c r="B37" s="181" t="e" vm="36">
        <v>#VALUE!</v>
      </c>
      <c r="C37" s="182" cm="1">
        <f t="array" ref="C37">_FV(B37,"Price")</f>
        <v>7709.96</v>
      </c>
      <c r="D37" s="182" cm="1">
        <f t="array" ref="D37">_FV(B37,"Previous close",TRUE)</f>
        <v>7723.55</v>
      </c>
      <c r="E37" s="183">
        <f t="shared" si="1"/>
        <v>-1.7595535731625978E-3</v>
      </c>
      <c r="F37" s="182"/>
    </row>
    <row r="38" spans="1:6" x14ac:dyDescent="0.25">
      <c r="A38" s="181" t="s">
        <v>77</v>
      </c>
      <c r="B38" s="181" t="e" vm="37">
        <v>#VALUE!</v>
      </c>
      <c r="C38" s="182" cm="1">
        <f t="array" ref="C38">_FV(B38,"Price")</f>
        <v>208.63</v>
      </c>
      <c r="D38" s="182" cm="1">
        <f t="array" ref="D38">_FV(B38,"Previous close",TRUE)</f>
        <v>209.15</v>
      </c>
      <c r="E38" s="183">
        <f t="shared" si="1"/>
        <v>-2.4862538847717497E-3</v>
      </c>
      <c r="F38" s="182"/>
    </row>
    <row r="39" spans="1:6" x14ac:dyDescent="0.25">
      <c r="A39" s="173"/>
      <c r="B39" s="181" t="e" vm="38">
        <v>#VALUE!</v>
      </c>
      <c r="C39" s="182" cm="1">
        <f t="array" ref="C39">_FV(B39,"Price")</f>
        <v>147.91</v>
      </c>
      <c r="D39" s="182" cm="1">
        <f t="array" ref="D39">_FV(B39,"Previous close",TRUE)</f>
        <v>147.63</v>
      </c>
      <c r="E39" s="183">
        <f t="shared" si="1"/>
        <v>1.8966334755807779E-3</v>
      </c>
      <c r="F39" s="182" cm="1">
        <f t="array" ref="F39">_FV(B39,"Beta")</f>
        <v>0.99860000000000004</v>
      </c>
    </row>
    <row r="40" spans="1:6" x14ac:dyDescent="0.25">
      <c r="A40" s="181" t="str" cm="1">
        <f t="array" ref="A40">_FV(B40,"Ticker symbol",TRUE)</f>
        <v>IDEV</v>
      </c>
      <c r="B40" s="173" t="e" vm="39">
        <v>#VALUE!</v>
      </c>
      <c r="C40" s="182" cm="1">
        <f t="array" ref="C40">_FV(B40,"Price")</f>
        <v>92.28</v>
      </c>
      <c r="D40" s="182" cm="1">
        <f t="array" ref="D40">_FV(B40,"Previous close",TRUE)</f>
        <v>92.28</v>
      </c>
      <c r="E40" s="183">
        <f t="shared" si="1"/>
        <v>0</v>
      </c>
      <c r="F40" s="182" cm="1">
        <f t="array" ref="F40">_FV(B40,"Beta")</f>
        <v>0.95989999999999998</v>
      </c>
    </row>
    <row r="41" spans="1:6" x14ac:dyDescent="0.25">
      <c r="A41" s="181" t="str" cm="1">
        <f t="array" ref="A41">_FV(B41,"Ticker symbol",TRUE)</f>
        <v>VVIAX</v>
      </c>
      <c r="B41" s="173" t="e" vm="40">
        <v>#VALUE!</v>
      </c>
      <c r="C41" s="182" cm="1">
        <f t="array" ref="C41">_FV(B41,"Price")</f>
        <v>87.15</v>
      </c>
      <c r="D41" s="182" cm="1">
        <f t="array" ref="D41">_FV(B41,"Previous close",TRUE)</f>
        <v>87.39</v>
      </c>
      <c r="E41" s="183">
        <f t="shared" si="1"/>
        <v>-2.7463096464125369E-3</v>
      </c>
      <c r="F41" s="182"/>
    </row>
    <row r="42" spans="1:6" x14ac:dyDescent="0.25">
      <c r="A42" s="181" t="str" cm="1">
        <f t="array" ref="A42">_FV(B42,"Ticker symbol",TRUE)</f>
        <v>MSFT</v>
      </c>
      <c r="B42" s="173" t="e" vm="41">
        <v>#VALUE!</v>
      </c>
      <c r="C42" s="182" cm="1">
        <f t="array" ref="C42">_FV(B42,"Price")</f>
        <v>499.86</v>
      </c>
      <c r="D42" s="182" cm="1">
        <f t="array" ref="D42">_FV(B42,"Previous close",TRUE)</f>
        <v>487.46</v>
      </c>
      <c r="E42" s="183">
        <f t="shared" si="1"/>
        <v>2.5437984655151347E-2</v>
      </c>
      <c r="F42" s="182" cm="1">
        <f t="array" ref="F42">_FV(B42,"Beta")</f>
        <v>1.1022000000000001</v>
      </c>
    </row>
    <row r="43" spans="1:6" x14ac:dyDescent="0.25">
      <c r="A43" s="181" t="str" cm="1">
        <f t="array" ref="A43">_FV(B43,"Ticker symbol",TRUE)</f>
        <v>VBR</v>
      </c>
      <c r="B43" s="173" t="e" vm="42">
        <v>#VALUE!</v>
      </c>
      <c r="C43" s="182" cm="1">
        <f t="array" ref="C43">_FV(B43,"Price")</f>
        <v>248.41</v>
      </c>
      <c r="D43" s="182" cm="1">
        <f t="array" ref="D43">_FV(B43,"Previous close",TRUE)</f>
        <v>248.41</v>
      </c>
      <c r="E43" s="183">
        <f t="shared" si="1"/>
        <v>0</v>
      </c>
      <c r="F43" s="182" cm="1">
        <f t="array" ref="F43">_FV(B43,"Beta")</f>
        <v>0.98319999999999996</v>
      </c>
    </row>
    <row r="44" spans="1:6" x14ac:dyDescent="0.25">
      <c r="A44" s="181" t="str" cm="1">
        <f t="array" ref="A44">_FV(B44,"Ticker symbol",TRUE)</f>
        <v>ECC</v>
      </c>
      <c r="B44" s="173" t="e" vm="43">
        <v>#VALUE!</v>
      </c>
      <c r="C44" s="182" cm="1">
        <f t="array" ref="C44">_FV(B44,"Price")</f>
        <v>3.9</v>
      </c>
      <c r="D44" s="182" cm="1">
        <f t="array" ref="D44">_FV(B44,"Previous close",TRUE)</f>
        <v>3.86</v>
      </c>
      <c r="E44" s="183">
        <f t="shared" si="1"/>
        <v>1.0362694300518172E-2</v>
      </c>
      <c r="F44" s="182" t="e" cm="1" vm="44">
        <f t="array" ref="F44">_FV(B44,"Beta")</f>
        <v>#VALUE!</v>
      </c>
    </row>
    <row r="45" spans="1:6" x14ac:dyDescent="0.25">
      <c r="A45" s="181" t="str" cm="1">
        <f t="array" ref="A45">_FV(B45,"Ticker symbol",TRUE)</f>
        <v>SPOT</v>
      </c>
      <c r="B45" s="173" t="e" vm="45">
        <v>#VALUE!</v>
      </c>
      <c r="C45" s="182" cm="1">
        <f t="array" ref="C45">_FV(B45,"Price")</f>
        <v>475.07</v>
      </c>
      <c r="D45" s="182" cm="1">
        <f t="array" ref="D45">_FV(B45,"Previous close",TRUE)</f>
        <v>482.23</v>
      </c>
      <c r="E45" s="183">
        <f t="shared" si="1"/>
        <v>-1.4847686788461933E-2</v>
      </c>
      <c r="F45" s="182" cm="1">
        <f t="array" ref="F45">_FV(B45,"Beta")</f>
        <v>1.5650999999999999</v>
      </c>
    </row>
    <row r="46" spans="1:6" x14ac:dyDescent="0.25">
      <c r="A46" s="181" t="str" cm="1">
        <f t="array" ref="A46">_FV(B46,"Ticker symbol",TRUE)</f>
        <v>WMT</v>
      </c>
      <c r="B46" s="173" t="e" vm="46">
        <v>#VALUE!</v>
      </c>
      <c r="C46" s="182" cm="1">
        <f t="array" ref="C46">_FV(B46,"Price")</f>
        <v>112.07</v>
      </c>
      <c r="D46" s="182" cm="1">
        <f t="array" ref="D46">_FV(B46,"Previous close",TRUE)</f>
        <v>112.34</v>
      </c>
      <c r="E46" s="183">
        <f t="shared" si="1"/>
        <v>-2.4034181947659716E-3</v>
      </c>
      <c r="F46" s="182" cm="1">
        <f t="array" ref="F46">_FV(B46,"Beta")</f>
        <v>0.60270000000000001</v>
      </c>
    </row>
    <row r="47" spans="1:6" x14ac:dyDescent="0.25">
      <c r="A47" s="181" t="str" cm="1">
        <f t="array" ref="A47">_FV(B47,"Ticker symbol",TRUE)</f>
        <v>KO</v>
      </c>
      <c r="B47" s="173" t="e" vm="47">
        <v>#VALUE!</v>
      </c>
      <c r="C47" s="182" cm="1">
        <f t="array" ref="C47">_FV(B47,"Price")</f>
        <v>86.85</v>
      </c>
      <c r="D47" s="182" cm="1">
        <f t="array" ref="D47">_FV(B47,"Previous close",TRUE)</f>
        <v>86.83</v>
      </c>
      <c r="E47" s="183">
        <f t="shared" si="1"/>
        <v>2.3033513762515945E-4</v>
      </c>
      <c r="F47" s="182" cm="1">
        <f t="array" ref="F47">_FV(B47,"Beta")</f>
        <v>0.33829999999999999</v>
      </c>
    </row>
    <row r="48" spans="1:6" x14ac:dyDescent="0.25">
      <c r="A48" s="181" t="str" cm="1">
        <f t="array" ref="A48">_FV(B48,"Ticker symbol",TRUE)</f>
        <v>INCY</v>
      </c>
      <c r="B48" s="173" t="e" vm="48">
        <v>#VALUE!</v>
      </c>
      <c r="C48" s="182" cm="1">
        <f t="array" ref="C48">_FV(B48,"Price")</f>
        <v>118.38</v>
      </c>
      <c r="D48" s="182" cm="1">
        <f t="array" ref="D48">_FV(B48,"Previous close",TRUE)</f>
        <v>119.8</v>
      </c>
      <c r="E48" s="183">
        <f t="shared" si="1"/>
        <v>-1.1853088480801355E-2</v>
      </c>
      <c r="F48" s="182" cm="1">
        <f t="array" ref="F48">_FV(B48,"Beta")</f>
        <v>0.76480000000000004</v>
      </c>
    </row>
    <row r="49" spans="1:6" x14ac:dyDescent="0.25">
      <c r="A49" s="181" t="str" cm="1">
        <f t="array" ref="A49">_FV(B49,"Ticker symbol",TRUE)</f>
        <v>INDA</v>
      </c>
      <c r="B49" s="173" t="e" vm="49">
        <v>#VALUE!</v>
      </c>
      <c r="C49" s="182" cm="1">
        <f t="array" ref="C49">_FV(B49,"Price")</f>
        <v>50.12</v>
      </c>
      <c r="D49" s="182" cm="1">
        <f t="array" ref="D49">_FV(B49,"Previous close",TRUE)</f>
        <v>50.31</v>
      </c>
      <c r="E49" s="183">
        <f t="shared" si="1"/>
        <v>-3.7765851719341326E-3</v>
      </c>
      <c r="F49" s="182" cm="1">
        <f t="array" ref="F49">_FV(B49,"Beta")</f>
        <v>0.80579999999999996</v>
      </c>
    </row>
    <row r="50" spans="1:6" x14ac:dyDescent="0.25">
      <c r="A50" s="181" t="str" cm="1">
        <f t="array" ref="A50">_FV(B50,"Ticker symbol",TRUE)</f>
        <v>IXC</v>
      </c>
      <c r="B50" s="173" t="e" vm="50">
        <v>#VALUE!</v>
      </c>
      <c r="C50" s="182" cm="1">
        <f t="array" ref="C50">_FV(B50,"Price")</f>
        <v>54.13</v>
      </c>
      <c r="D50" s="182" cm="1">
        <f t="array" ref="D50">_FV(B50,"Previous close",TRUE)</f>
        <v>53.43</v>
      </c>
      <c r="E50" s="183">
        <f t="shared" si="1"/>
        <v>1.3101253977166438E-2</v>
      </c>
      <c r="F50" s="182" cm="1">
        <f t="array" ref="F50">_FV(B50,"Beta")</f>
        <v>1.0148999999999999</v>
      </c>
    </row>
    <row r="51" spans="1:6" x14ac:dyDescent="0.25">
      <c r="A51" s="181" t="str" cm="1">
        <f t="array" ref="A51">_FV(B51,"Ticker symbol",TRUE)</f>
        <v>SPMO</v>
      </c>
      <c r="B51" s="173" t="e" vm="51">
        <v>#VALUE!</v>
      </c>
      <c r="C51" s="182" cm="1">
        <f t="array" ref="C51">_FV(B51,"Price")</f>
        <v>149.1</v>
      </c>
      <c r="D51" s="182" cm="1">
        <f t="array" ref="D51">_FV(B51,"Previous close",TRUE)</f>
        <v>150.27000000000001</v>
      </c>
      <c r="E51" s="183">
        <f t="shared" si="1"/>
        <v>-7.7859852265922402E-3</v>
      </c>
      <c r="F51" s="182" cm="1">
        <f t="array" ref="F51">_FV(B51,"Beta")</f>
        <v>1.0794999999999999</v>
      </c>
    </row>
    <row r="52" spans="1:6" x14ac:dyDescent="0.25">
      <c r="A52" s="181" t="str" cm="1">
        <f t="array" ref="A52">_FV(B52,"Ticker symbol",TRUE)</f>
        <v>FOUR</v>
      </c>
      <c r="B52" s="173" t="e" vm="52">
        <v>#VALUE!</v>
      </c>
      <c r="C52" s="182" cm="1">
        <f t="array" ref="C52">_FV(B52,"Price")</f>
        <v>43.41</v>
      </c>
      <c r="D52" s="182" cm="1">
        <f t="array" ref="D52">_FV(B52,"Previous close",TRUE)</f>
        <v>53.38</v>
      </c>
      <c r="E52" s="183">
        <f t="shared" si="1"/>
        <v>-0.18677407268639945</v>
      </c>
      <c r="F52" s="182" cm="1">
        <f t="array" ref="F52">_FV(B52,"Beta")</f>
        <v>1.4035</v>
      </c>
    </row>
    <row r="53" spans="1:6" x14ac:dyDescent="0.25">
      <c r="A53" s="181" t="str" cm="1">
        <f t="array" ref="A53">_FV(B53,"Ticker symbol",TRUE)</f>
        <v>VTV</v>
      </c>
      <c r="B53" s="173" t="e" vm="53">
        <v>#VALUE!</v>
      </c>
      <c r="C53" s="182" cm="1">
        <f t="array" ref="C53">_FV(B53,"Price")</f>
        <v>223.37</v>
      </c>
      <c r="D53" s="182" cm="1">
        <f t="array" ref="D53">_FV(B53,"Previous close",TRUE)</f>
        <v>223.99</v>
      </c>
      <c r="E53" s="183">
        <f t="shared" si="1"/>
        <v>-2.7679807134247669E-3</v>
      </c>
      <c r="F53" s="182" cm="1">
        <f t="array" ref="F53">_FV(B53,"Beta")</f>
        <v>0.88600000000000001</v>
      </c>
    </row>
    <row r="54" spans="1:6" x14ac:dyDescent="0.25">
      <c r="A54" s="181" t="str" cm="1">
        <f t="array" ref="A54">_FV(B54,"Ticker symbol",TRUE)</f>
        <v>SBUX</v>
      </c>
      <c r="B54" s="173" t="e" vm="54">
        <v>#VALUE!</v>
      </c>
      <c r="C54" s="182" cm="1">
        <f t="array" ref="C54">_FV(B54,"Price")</f>
        <v>105.16</v>
      </c>
      <c r="D54" s="182" cm="1">
        <f t="array" ref="D54">_FV(B54,"Previous close",TRUE)</f>
        <v>106</v>
      </c>
      <c r="E54" s="183">
        <f t="shared" si="1"/>
        <v>-7.9245283018868351E-3</v>
      </c>
      <c r="F54" s="182" cm="1">
        <f t="array" ref="F54">_FV(B54,"Beta")</f>
        <v>0.9637</v>
      </c>
    </row>
    <row r="55" spans="1:6" x14ac:dyDescent="0.25">
      <c r="A55" s="181" t="str" cm="1">
        <f t="array" ref="A55">_FV(B55,"Ticker symbol",TRUE)</f>
        <v>TEM</v>
      </c>
      <c r="B55" s="173" t="e" vm="55">
        <v>#VALUE!</v>
      </c>
      <c r="C55" s="182" cm="1">
        <f t="array" ref="C55">_FV(B55,"Price")</f>
        <v>46.12</v>
      </c>
      <c r="D55" s="182" cm="1">
        <f t="array" ref="D55">_FV(B55,"Previous close",TRUE)</f>
        <v>46.7</v>
      </c>
      <c r="E55" s="183">
        <f t="shared" si="1"/>
        <v>-1.2419700214132856E-2</v>
      </c>
      <c r="F55" s="182" cm="1">
        <f t="array" ref="F55">_FV(B55,"Beta")</f>
        <v>3.149</v>
      </c>
    </row>
    <row r="56" spans="1:6" x14ac:dyDescent="0.25">
      <c r="A56" s="181" t="str" cm="1">
        <f t="array" ref="A56">_FV(B56,"Ticker symbol",TRUE)</f>
        <v>JEPQ</v>
      </c>
      <c r="B56" s="181" t="e" vm="56">
        <v>#VALUE!</v>
      </c>
      <c r="C56" s="182" cm="1">
        <f t="array" ref="C56">_FV(B56,"Price")</f>
        <v>59.34</v>
      </c>
      <c r="D56" s="182" cm="1">
        <f t="array" ref="D56">_FV(B56,"Previous close",TRUE)</f>
        <v>59.38</v>
      </c>
      <c r="E56" s="183">
        <f t="shared" si="1"/>
        <v>-6.7362748400134898E-4</v>
      </c>
      <c r="F56" s="182"/>
    </row>
    <row r="57" spans="1:6" x14ac:dyDescent="0.25">
      <c r="A57" s="181" t="str" cm="1">
        <f t="array" ref="A57">_FV(B57,"Ticker symbol",TRUE)</f>
        <v>CEG</v>
      </c>
      <c r="B57" s="181" t="e" vm="57">
        <v>#VALUE!</v>
      </c>
      <c r="C57" s="182" cm="1">
        <f t="array" ref="C57">_FV(B57,"Price")</f>
        <v>261.10000000000002</v>
      </c>
      <c r="D57" s="182" cm="1">
        <f t="array" ref="D57">_FV(B57,"Previous close",TRUE)</f>
        <v>265.12</v>
      </c>
      <c r="E57" s="183">
        <f t="shared" si="1"/>
        <v>-1.5162945081472423E-2</v>
      </c>
      <c r="F57" s="182"/>
    </row>
    <row r="58" spans="1:6" x14ac:dyDescent="0.25">
      <c r="A58" s="181" t="str" cm="1">
        <f t="array" ref="A58">_FV(B58,"Ticker symbol",TRUE)</f>
        <v>FEZ</v>
      </c>
      <c r="B58" s="181" t="e" vm="58">
        <v>#VALUE!</v>
      </c>
      <c r="C58" s="182" cm="1">
        <f t="array" ref="C58">_FV(B58,"Price")</f>
        <v>71.22</v>
      </c>
      <c r="D58" s="182" cm="1">
        <f t="array" ref="D58">_FV(B58,"Previous close",TRUE)</f>
        <v>71.22</v>
      </c>
      <c r="E58" s="183">
        <f t="shared" si="1"/>
        <v>0</v>
      </c>
      <c r="F58" s="199" cm="1">
        <f t="array" ref="F58">_FV(B58,"Beta")</f>
        <v>1.0878000000000001</v>
      </c>
    </row>
    <row r="59" spans="1:6" x14ac:dyDescent="0.25">
      <c r="A59" s="181" t="str" cm="1">
        <f t="array" ref="A59">_FV(B59,"Ticker symbol",TRUE)</f>
        <v>KO</v>
      </c>
      <c r="B59" s="181" t="e" vm="59">
        <v>#VALUE!</v>
      </c>
      <c r="C59" s="182" cm="1">
        <f t="array" ref="C59">_FV(B59,"Price")</f>
        <v>86.85</v>
      </c>
      <c r="D59" s="182" cm="1">
        <f t="array" ref="D59">_FV(B59,"Previous close",TRUE)</f>
        <v>86.83</v>
      </c>
      <c r="E59" s="183">
        <f t="shared" si="1"/>
        <v>2.3033513762515945E-4</v>
      </c>
      <c r="F59" s="182"/>
    </row>
    <row r="60" spans="1:6" x14ac:dyDescent="0.25">
      <c r="A60" s="181" t="str" cm="1">
        <f t="array" ref="A60">_FV(B60,"Ticker symbol",TRUE)</f>
        <v>MDLZ</v>
      </c>
      <c r="B60" s="181" t="e" vm="60">
        <v>#VALUE!</v>
      </c>
      <c r="C60" s="199" cm="1">
        <f t="array" ref="C60">_FV(B60,"Price")</f>
        <v>62.75</v>
      </c>
      <c r="D60" s="199" cm="1">
        <f t="array" ref="D60">_FV(B60,"Previous close",TRUE)</f>
        <v>62.6</v>
      </c>
      <c r="E60" s="183">
        <f t="shared" si="1"/>
        <v>2.3961661341853624E-3</v>
      </c>
      <c r="F60" s="199" cm="1">
        <f t="array" ref="F60">_FV(B60,"Beta")</f>
        <v>0.40339999999999998</v>
      </c>
    </row>
    <row r="61" spans="1:6" x14ac:dyDescent="0.25">
      <c r="A61" s="181" t="str" cm="1">
        <f t="array" ref="A61">_FV(B61,"Ticker symbol",TRUE)</f>
        <v>ARLP</v>
      </c>
      <c r="B61" s="173" t="e" vm="61">
        <v>#VALUE!</v>
      </c>
      <c r="C61" s="182" cm="1">
        <f t="array" ref="C61">_FV(B61,"Price")</f>
        <v>25.32</v>
      </c>
      <c r="D61" s="182" cm="1">
        <f t="array" ref="D61">_FV(B61,"Previous close",TRUE)</f>
        <v>25.4</v>
      </c>
      <c r="E61" s="183">
        <f t="shared" si="1"/>
        <v>-3.1496062992125706E-3</v>
      </c>
      <c r="F61" s="199"/>
    </row>
    <row r="62" spans="1:6" x14ac:dyDescent="0.25">
      <c r="A62" s="181" t="str" cm="1">
        <f t="array" ref="A62">_FV(B62,"Ticker symbol",TRUE)</f>
        <v>BYDDY</v>
      </c>
      <c r="B62" s="173" t="e" vm="62">
        <v>#VALUE!</v>
      </c>
      <c r="C62" s="182" cm="1">
        <f t="array" ref="C62">_FV(B62,"Price")</f>
        <v>11.48</v>
      </c>
      <c r="D62" s="182" cm="1">
        <f t="array" ref="D62">_FV(B62,"Previous close",TRUE)</f>
        <v>11.78</v>
      </c>
      <c r="E62" s="183">
        <f t="shared" si="1"/>
        <v>-2.5466893039049143E-2</v>
      </c>
      <c r="F62" s="199" cm="1">
        <f t="array" ref="F62">_FV(B62,"Beta")</f>
        <v>0.5323</v>
      </c>
    </row>
    <row r="63" spans="1:6" x14ac:dyDescent="0.25">
      <c r="A63" s="181" t="str" cm="1">
        <f t="array" ref="A63">_FV(B63,"Ticker symbol",TRUE)</f>
        <v>HAGHY</v>
      </c>
      <c r="B63" s="173" t="e" vm="63">
        <v>#VALUE!</v>
      </c>
      <c r="C63" s="182" cm="1">
        <f t="array" ref="C63">_FV(B63,"Price")</f>
        <v>10.32</v>
      </c>
      <c r="D63" s="182" cm="1">
        <f t="array" ref="D63">_FV(B63,"Previous close",TRUE)</f>
        <v>9.9</v>
      </c>
      <c r="E63" s="183">
        <f t="shared" si="1"/>
        <v>4.2424242424242475E-2</v>
      </c>
      <c r="F63" s="199" cm="1">
        <f t="array" ref="F63">_FV(B63,"Beta")</f>
        <v>0.4279</v>
      </c>
    </row>
    <row r="64" spans="1:6" x14ac:dyDescent="0.25">
      <c r="A64" s="181" t="str" cm="1">
        <f t="array" ref="A64">_FV(B64,"Ticker symbol",TRUE)</f>
        <v>GLD</v>
      </c>
      <c r="B64" s="173" t="e" vm="64">
        <v>#VALUE!</v>
      </c>
      <c r="C64" s="182" cm="1">
        <f t="array" ref="C64">_FV(B64,"Price")</f>
        <v>389.67</v>
      </c>
      <c r="D64" s="182" cm="1">
        <f t="array" ref="D64">_FV(B64,"Previous close",TRUE)</f>
        <v>389.64</v>
      </c>
      <c r="E64" s="183">
        <f t="shared" si="1"/>
        <v>7.6994148444864408E-5</v>
      </c>
      <c r="F64" s="199" cm="1">
        <f t="array" ref="F64">_FV(B64,"Beta")</f>
        <v>0.82869999999999999</v>
      </c>
    </row>
    <row r="65" spans="1:6" x14ac:dyDescent="0.25">
      <c r="A65" s="181" t="s">
        <v>208</v>
      </c>
      <c r="B65" s="173" t="e" vm="65">
        <v>#VALUE!</v>
      </c>
      <c r="C65" s="182" cm="1">
        <f t="array" ref="C65">_FV(B65,"Price")</f>
        <v>589.9</v>
      </c>
      <c r="D65" s="182" cm="1">
        <f t="array" ref="D65">_FV(B65,"Previous close",TRUE)</f>
        <v>588.77</v>
      </c>
      <c r="E65" s="183">
        <f t="shared" ref="E65:E96" si="2">C65/D65 -1</f>
        <v>1.9192553968443438E-3</v>
      </c>
      <c r="F65" s="199" cm="1">
        <f t="array" ref="F65">_FV(B65,"Beta")</f>
        <v>1.2462</v>
      </c>
    </row>
    <row r="66" spans="1:6" x14ac:dyDescent="0.25">
      <c r="A66" s="181" t="str" cm="1">
        <f t="array" ref="A66">_FV(B66,"Ticker symbol",TRUE)</f>
        <v>TJX</v>
      </c>
      <c r="B66" s="173" t="e" vm="66">
        <v>#VALUE!</v>
      </c>
      <c r="C66" s="182" cm="1">
        <f t="array" ref="C66">_FV(B66,"Price")</f>
        <v>162.06</v>
      </c>
      <c r="D66" s="182" cm="1">
        <f t="array" ref="D66">_FV(B66,"Previous close",TRUE)</f>
        <v>159.91999999999999</v>
      </c>
      <c r="E66" s="183">
        <f t="shared" si="2"/>
        <v>1.3381690845422733E-2</v>
      </c>
      <c r="F66" s="199" cm="1">
        <f t="array" ref="F66">_FV(B66,"Beta")</f>
        <v>0.61419999999999997</v>
      </c>
    </row>
    <row r="67" spans="1:6" x14ac:dyDescent="0.25">
      <c r="A67" s="181" t="str" cm="1">
        <f t="array" ref="A67">_FV(B67,"Ticker symbol",TRUE)</f>
        <v>UBER</v>
      </c>
      <c r="B67" s="173" t="e" vm="67">
        <v>#VALUE!</v>
      </c>
      <c r="C67" s="182" cm="1">
        <f t="array" ref="C67">_FV(B67,"Price")</f>
        <v>70.47</v>
      </c>
      <c r="D67" s="182" cm="1">
        <f t="array" ref="D67">_FV(B67,"Previous close",TRUE)</f>
        <v>68.180000000000007</v>
      </c>
      <c r="E67" s="183">
        <f t="shared" si="2"/>
        <v>3.3587562334995491E-2</v>
      </c>
      <c r="F67" s="199" cm="1">
        <f t="array" ref="F67">_FV(B67,"Beta")</f>
        <v>1.1411</v>
      </c>
    </row>
    <row r="68" spans="1:6" x14ac:dyDescent="0.25">
      <c r="A68" s="181" t="str" cm="1">
        <f t="array" ref="A68">_FV(B68,"Ticker symbol",TRUE)</f>
        <v>VST</v>
      </c>
      <c r="B68" s="173" t="e" vm="68">
        <v>#VALUE!</v>
      </c>
      <c r="C68" s="182" cm="1">
        <f t="array" ref="C68">_FV(B68,"Price")</f>
        <v>141.38</v>
      </c>
      <c r="D68" s="182" cm="1">
        <f t="array" ref="D68">_FV(B68,"Previous close",TRUE)</f>
        <v>140.58000000000001</v>
      </c>
      <c r="E68" s="183">
        <f t="shared" si="2"/>
        <v>5.690709916061909E-3</v>
      </c>
      <c r="F68" s="199" cm="1">
        <f t="array" ref="F68">_FV(B68,"Beta")</f>
        <v>1.4107000000000001</v>
      </c>
    </row>
    <row r="69" spans="1:6" x14ac:dyDescent="0.25">
      <c r="A69" s="181" t="str" cm="1">
        <f t="array" ref="A69">_FV(B69,"Ticker symbol",TRUE)</f>
        <v>AAPL</v>
      </c>
      <c r="B69" s="173" t="e" vm="69">
        <v>#VALUE!</v>
      </c>
      <c r="C69" s="182" cm="1">
        <f t="array" ref="C69">_FV(B69,"Price")</f>
        <v>312.41000000000003</v>
      </c>
      <c r="D69" s="182" cm="1">
        <f t="array" ref="D69">_FV(B69,"Previous close",TRUE)</f>
        <v>311</v>
      </c>
      <c r="E69" s="183">
        <f t="shared" si="2"/>
        <v>4.5337620578778104E-3</v>
      </c>
      <c r="F69" s="199" cm="1">
        <f t="array" ref="F69">_FV(B69,"Beta")</f>
        <v>1.081</v>
      </c>
    </row>
    <row r="70" spans="1:6" x14ac:dyDescent="0.25">
      <c r="A70" s="181" t="str" cm="1">
        <f t="array" ref="A70">_FV(B70,"Ticker symbol",TRUE)</f>
        <v>ROKU</v>
      </c>
      <c r="B70" s="173" t="e" vm="70">
        <v>#VALUE!</v>
      </c>
      <c r="C70" s="182" cm="1">
        <f t="array" ref="C70">_FV(B70,"Price")</f>
        <v>150.07</v>
      </c>
      <c r="D70" s="182" cm="1">
        <f t="array" ref="D70">_FV(B70,"Previous close",TRUE)</f>
        <v>146.96</v>
      </c>
      <c r="E70" s="183">
        <f t="shared" si="2"/>
        <v>2.116222101252041E-2</v>
      </c>
      <c r="F70" s="199" cm="1">
        <f t="array" ref="F70">_FV(B70,"Beta")</f>
        <v>2.0381999999999998</v>
      </c>
    </row>
    <row r="71" spans="1:6" x14ac:dyDescent="0.25">
      <c r="A71" s="181" t="str" cm="1">
        <f t="array" ref="A71">_FV(B71,"Ticker symbol",TRUE)</f>
        <v>WMT</v>
      </c>
      <c r="B71" s="173" t="e" vm="46">
        <v>#VALUE!</v>
      </c>
      <c r="C71" s="182" cm="1">
        <f t="array" ref="C71">_FV(B71,"Price")</f>
        <v>112.07</v>
      </c>
      <c r="D71" s="182" cm="1">
        <f t="array" ref="D71">_FV(B71,"Previous close",TRUE)</f>
        <v>112.34</v>
      </c>
      <c r="E71" s="183">
        <f t="shared" si="2"/>
        <v>-2.4034181947659716E-3</v>
      </c>
      <c r="F71" s="199" cm="1">
        <f t="array" ref="F71">_FV(B71,"Beta")</f>
        <v>0.60270000000000001</v>
      </c>
    </row>
    <row r="72" spans="1:6" x14ac:dyDescent="0.25">
      <c r="A72" s="181" t="str" cm="1">
        <f t="array" ref="A72">_FV(B72,"Ticker symbol",TRUE)</f>
        <v>BABA</v>
      </c>
      <c r="B72" s="173" t="e" vm="71">
        <v>#VALUE!</v>
      </c>
      <c r="C72" s="182" cm="1">
        <f t="array" ref="C72">_FV(B72,"Price")</f>
        <v>126.81</v>
      </c>
      <c r="D72" s="182" cm="1">
        <f t="array" ref="D72">_FV(B72,"Previous close",TRUE)</f>
        <v>128.53</v>
      </c>
      <c r="E72" s="183">
        <f t="shared" si="2"/>
        <v>-1.3382089784486073E-2</v>
      </c>
      <c r="F72" s="199" cm="1">
        <f t="array" ref="F72">_FV(B72,"Beta")</f>
        <v>0.52039999999999997</v>
      </c>
    </row>
    <row r="73" spans="1:6" x14ac:dyDescent="0.25">
      <c r="A73" s="181" t="str" cm="1">
        <f t="array" ref="A73">_FV(B73,"Ticker symbol",TRUE)</f>
        <v>XPEV</v>
      </c>
      <c r="B73" s="173" t="e" vm="72">
        <v>#VALUE!</v>
      </c>
      <c r="C73" s="182" cm="1">
        <f t="array" ref="C73">_FV(B73,"Price")</f>
        <v>11.68</v>
      </c>
      <c r="D73" s="182" cm="1">
        <f t="array" ref="D73">_FV(B73,"Previous close",TRUE)</f>
        <v>11.75</v>
      </c>
      <c r="E73" s="183">
        <f t="shared" si="2"/>
        <v>-5.9574468085106247E-3</v>
      </c>
      <c r="F73" s="199" cm="1">
        <f t="array" ref="F73">_FV(B73,"Beta")</f>
        <v>1.0992999999999999</v>
      </c>
    </row>
    <row r="74" spans="1:6" x14ac:dyDescent="0.25">
      <c r="A74" s="181" t="str" cm="1">
        <f t="array" ref="A74">_FV(B74,"Ticker symbol",TRUE)</f>
        <v>NVAX</v>
      </c>
      <c r="B74" s="173" t="e" vm="73">
        <v>#VALUE!</v>
      </c>
      <c r="C74" s="182" cm="1">
        <f t="array" ref="C74">_FV(B74,"Price")</f>
        <v>7.74</v>
      </c>
      <c r="D74" s="182" cm="1">
        <f t="array" ref="D74">_FV(B74,"Previous close",TRUE)</f>
        <v>7.7</v>
      </c>
      <c r="E74" s="183">
        <f t="shared" si="2"/>
        <v>5.1948051948051965E-3</v>
      </c>
      <c r="F74" s="199" cm="1">
        <f t="array" ref="F74">_FV(B74,"Beta")</f>
        <v>2.4188000000000001</v>
      </c>
    </row>
    <row r="75" spans="1:6" x14ac:dyDescent="0.25">
      <c r="A75" s="181" t="str" cm="1">
        <f t="array" ref="A75">_FV(B75,"Ticker symbol",TRUE)</f>
        <v>KTOS</v>
      </c>
      <c r="B75" s="173" t="e" vm="74">
        <v>#VALUE!</v>
      </c>
      <c r="C75" s="182" cm="1">
        <f t="array" ref="C75">_FV(B75,"Price")</f>
        <v>57.41</v>
      </c>
      <c r="D75" s="182" cm="1">
        <f t="array" ref="D75">_FV(B75,"Previous close",TRUE)</f>
        <v>55.34</v>
      </c>
      <c r="E75" s="183">
        <f t="shared" si="2"/>
        <v>3.7405131911817824E-2</v>
      </c>
      <c r="F75" s="199" cm="1">
        <f t="array" ref="F75">_FV(B75,"Beta")</f>
        <v>1.1301000000000001</v>
      </c>
    </row>
    <row r="76" spans="1:6" x14ac:dyDescent="0.25">
      <c r="A76" s="181" t="str" cm="1">
        <f t="array" ref="A76">_FV(B76,"Ticker symbol",TRUE)</f>
        <v>EWG</v>
      </c>
      <c r="B76" s="173" t="e" vm="75">
        <v>#VALUE!</v>
      </c>
      <c r="C76" s="182" cm="1">
        <f t="array" ref="C76">_FV(B76,"Price")</f>
        <v>43.52</v>
      </c>
      <c r="D76" s="182" cm="1">
        <f t="array" ref="D76">_FV(B76,"Previous close",TRUE)</f>
        <v>43.52</v>
      </c>
      <c r="E76" s="183">
        <f t="shared" si="2"/>
        <v>0</v>
      </c>
      <c r="F76" s="199" cm="1">
        <f t="array" ref="F76">_FV(B76,"Beta")</f>
        <v>1.0827</v>
      </c>
    </row>
    <row r="77" spans="1:6" x14ac:dyDescent="0.25">
      <c r="A77" s="181" t="str" cm="1">
        <f t="array" ref="A77">_FV(B77,"Ticker symbol",TRUE)</f>
        <v>PLMR</v>
      </c>
      <c r="B77" s="173" t="e" vm="76">
        <v>#VALUE!</v>
      </c>
      <c r="C77" s="182" cm="1">
        <f t="array" ref="C77">_FV(B77,"Price")</f>
        <v>136.82</v>
      </c>
      <c r="D77" s="182" cm="1">
        <f t="array" ref="D77">_FV(B77,"Previous close",TRUE)</f>
        <v>134</v>
      </c>
      <c r="E77" s="183">
        <f t="shared" si="2"/>
        <v>2.104477611940303E-2</v>
      </c>
      <c r="F77" s="199" cm="1">
        <f t="array" ref="F77">_FV(B77,"Beta")</f>
        <v>0.38200000000000001</v>
      </c>
    </row>
    <row r="78" spans="1:6" x14ac:dyDescent="0.25">
      <c r="A78" s="181" t="str" cm="1">
        <f t="array" ref="A78">_FV(B78,"Ticker symbol",TRUE)</f>
        <v>JPM</v>
      </c>
      <c r="B78" s="173" t="e" vm="15">
        <v>#VALUE!</v>
      </c>
      <c r="C78" s="182" cm="1">
        <f t="array" ref="C78">_FV(B78,"Price")</f>
        <v>356.3</v>
      </c>
      <c r="D78" s="182" cm="1">
        <f t="array" ref="D78">_FV(B78,"Previous close",TRUE)</f>
        <v>359.24</v>
      </c>
      <c r="E78" s="183">
        <f t="shared" si="2"/>
        <v>-8.1839438815276555E-3</v>
      </c>
      <c r="F78" s="199" cm="1">
        <f t="array" ref="F78">_FV(B78,"Beta")</f>
        <v>0.97499999999999998</v>
      </c>
    </row>
    <row r="79" spans="1:6" x14ac:dyDescent="0.25">
      <c r="A79" s="181" t="str" cm="1">
        <f t="array" ref="A79">_FV(B79,"Ticker symbol",TRUE)</f>
        <v>MRVL</v>
      </c>
      <c r="B79" s="173" t="e" vm="77">
        <v>#VALUE!</v>
      </c>
      <c r="C79" s="182" cm="1">
        <f t="array" ref="C79">_FV(B79,"Price")</f>
        <v>210.54</v>
      </c>
      <c r="D79" s="182" cm="1">
        <f t="array" ref="D79">_FV(B79,"Previous close",TRUE)</f>
        <v>211.02</v>
      </c>
      <c r="E79" s="183">
        <f t="shared" si="2"/>
        <v>-2.2746659084448284E-3</v>
      </c>
      <c r="F79" s="199" cm="1">
        <f t="array" ref="F79">_FV(B79,"Beta")</f>
        <v>2.2528999999999999</v>
      </c>
    </row>
    <row r="80" spans="1:6" x14ac:dyDescent="0.25">
      <c r="A80" s="181" t="str" cm="1">
        <f t="array" ref="A80">_FV(B80,"Ticker symbol",TRUE)</f>
        <v>ASML</v>
      </c>
      <c r="B80" s="173" t="e" vm="78">
        <v>#VALUE!</v>
      </c>
      <c r="C80" s="182" cm="1">
        <f t="array" ref="C80">_FV(B80,"Price")</f>
        <v>1495.4</v>
      </c>
      <c r="D80" s="182" cm="1">
        <f t="array" ref="D80">_FV(B80,"Previous close",TRUE)</f>
        <v>1494</v>
      </c>
      <c r="E80" s="183">
        <f t="shared" si="2"/>
        <v>9.3708165997319348E-4</v>
      </c>
      <c r="F80" s="199" cm="1">
        <f t="array" ref="F80">_FV(B80,"Beta")</f>
        <v>2.1983999999999999</v>
      </c>
    </row>
    <row r="81" spans="1:6" x14ac:dyDescent="0.25">
      <c r="A81" s="181" t="str" cm="1">
        <f t="array" ref="A81">_FV(B81,"Ticker symbol",TRUE)</f>
        <v>AMZN</v>
      </c>
      <c r="B81" s="173" t="e" vm="79">
        <v>#VALUE!</v>
      </c>
      <c r="C81" s="182" cm="1">
        <f t="array" ref="C81">_FV(B81,"Price")</f>
        <v>272.26</v>
      </c>
      <c r="D81" s="182" cm="1">
        <f t="array" ref="D81">_FV(B81,"Previous close",TRUE)</f>
        <v>272.64999999999998</v>
      </c>
      <c r="E81" s="183">
        <f t="shared" si="2"/>
        <v>-1.4304052814964052E-3</v>
      </c>
      <c r="F81" s="199" cm="1">
        <f t="array" ref="F81">_FV(B81,"Beta")</f>
        <v>1.4470000000000001</v>
      </c>
    </row>
    <row r="82" spans="1:6" x14ac:dyDescent="0.25">
      <c r="A82" s="181" t="str" cm="1">
        <f t="array" ref="A82">_FV(B82,"Ticker symbol",TRUE)</f>
        <v>AMD</v>
      </c>
      <c r="B82" s="173" t="e" vm="80">
        <v>#VALUE!</v>
      </c>
      <c r="C82" s="182" cm="1">
        <f t="array" ref="C82">_FV(B82,"Price")</f>
        <v>489.28</v>
      </c>
      <c r="D82" s="182" cm="1">
        <f t="array" ref="D82">_FV(B82,"Previous close",TRUE)</f>
        <v>482.05</v>
      </c>
      <c r="E82" s="183">
        <f t="shared" si="2"/>
        <v>1.4998444144798118E-2</v>
      </c>
      <c r="F82" s="199" cm="1">
        <f t="array" ref="F82">_FV(B82,"Beta")</f>
        <v>2.4744000000000002</v>
      </c>
    </row>
    <row r="83" spans="1:6" x14ac:dyDescent="0.25">
      <c r="A83" s="181" t="str" cm="1">
        <f t="array" ref="A83">_FV(B83,"Ticker symbol",TRUE)</f>
        <v>GOOGL</v>
      </c>
      <c r="B83" s="173" t="e" vm="81">
        <v>#VALUE!</v>
      </c>
      <c r="C83" s="182" cm="1">
        <f t="array" ref="C83">_FV(B83,"Price")</f>
        <v>357.75</v>
      </c>
      <c r="D83" s="182" cm="1">
        <f t="array" ref="D83">_FV(B83,"Previous close",TRUE)</f>
        <v>362.43</v>
      </c>
      <c r="E83" s="183">
        <f t="shared" si="2"/>
        <v>-1.2912838341196942E-2</v>
      </c>
      <c r="F83" s="199" cm="1">
        <f t="array" ref="F83">_FV(B83,"Beta")</f>
        <v>1.2313000000000001</v>
      </c>
    </row>
    <row r="84" spans="1:6" x14ac:dyDescent="0.25">
      <c r="A84" s="181" t="str" cm="1">
        <f t="array" ref="A84">_FV(B84,"Ticker symbol",TRUE)</f>
        <v>HIMS</v>
      </c>
      <c r="B84" s="173" t="e" vm="82">
        <v>#VALUE!</v>
      </c>
      <c r="C84" s="182" cm="1">
        <f t="array" ref="C84">_FV(B84,"Price")</f>
        <v>29.66</v>
      </c>
      <c r="D84" s="182" cm="1">
        <f t="array" ref="D84">_FV(B84,"Previous close",TRUE)</f>
        <v>31.65</v>
      </c>
      <c r="E84" s="183">
        <f t="shared" si="2"/>
        <v>-6.2875197472353817E-2</v>
      </c>
      <c r="F84" s="199" cm="1">
        <f t="array" ref="F84">_FV(B84,"Beta")</f>
        <v>2.4207000000000001</v>
      </c>
    </row>
    <row r="85" spans="1:6" x14ac:dyDescent="0.25">
      <c r="A85" s="181" t="str" cm="1">
        <f t="array" ref="A85">_FV(B85,"Ticker symbol",TRUE)</f>
        <v>NANC</v>
      </c>
      <c r="B85" s="173" t="e" vm="83">
        <v>#VALUE!</v>
      </c>
      <c r="C85" s="182" cm="1">
        <f t="array" ref="C85">_FV(B85,"Price")</f>
        <v>51.67</v>
      </c>
      <c r="D85" s="182" cm="1">
        <f t="array" ref="D85">_FV(B85,"Previous close",TRUE)</f>
        <v>51.65</v>
      </c>
      <c r="E85" s="183">
        <f t="shared" si="2"/>
        <v>3.8722168441429616E-4</v>
      </c>
      <c r="F85" s="199" cm="1">
        <f t="array" ref="F85">_FV(B85,"Beta")</f>
        <v>1.1335999999999999</v>
      </c>
    </row>
    <row r="86" spans="1:6" x14ac:dyDescent="0.25">
      <c r="A86" s="181" t="str" cm="1">
        <f t="array" ref="A86">_FV(B86,"Ticker symbol",TRUE)</f>
        <v>PLTR</v>
      </c>
      <c r="B86" s="173" t="e" vm="84">
        <v>#VALUE!</v>
      </c>
      <c r="C86" s="182" cm="1">
        <f t="array" ref="C86">_FV(B86,"Price")</f>
        <v>155.91999999999999</v>
      </c>
      <c r="D86" s="182" cm="1">
        <f t="array" ref="D86">_FV(B86,"Previous close",TRUE)</f>
        <v>158.43</v>
      </c>
      <c r="E86" s="183">
        <f t="shared" si="2"/>
        <v>-1.5842959035536341E-2</v>
      </c>
      <c r="F86" s="199" cm="1">
        <f t="array" ref="F86">_FV(B86,"Beta")</f>
        <v>1.5985</v>
      </c>
    </row>
    <row r="87" spans="1:6" x14ac:dyDescent="0.25">
      <c r="A87" s="181" t="str" cm="1">
        <f t="array" ref="A87">_FV(B87,"Ticker symbol",TRUE)</f>
        <v>BX</v>
      </c>
      <c r="B87" s="173" t="e" vm="85">
        <v>#VALUE!</v>
      </c>
      <c r="C87" s="182" cm="1">
        <f t="array" ref="C87">_FV(B87,"Price")</f>
        <v>133.44999999999999</v>
      </c>
      <c r="D87" s="182" cm="1">
        <f t="array" ref="D87">_FV(B87,"Previous close",TRUE)</f>
        <v>136.03</v>
      </c>
      <c r="E87" s="183">
        <f t="shared" si="2"/>
        <v>-1.8966404469602405E-2</v>
      </c>
      <c r="F87" s="199" cm="1">
        <f t="array" ref="F87">_FV(B87,"Beta")</f>
        <v>1.5505</v>
      </c>
    </row>
    <row r="88" spans="1:6" x14ac:dyDescent="0.25">
      <c r="A88" s="181" t="s">
        <v>132</v>
      </c>
      <c r="B88" s="173" t="e" vm="86">
        <v>#VALUE!</v>
      </c>
      <c r="C88" s="182" cm="1">
        <f t="array" ref="C88">_FV(B88,"Price")</f>
        <v>217</v>
      </c>
      <c r="D88" s="182" cm="1">
        <f t="array" ref="D88">_FV(B88,"Previous close",TRUE)</f>
        <v>217.2</v>
      </c>
      <c r="E88" s="183">
        <f t="shared" si="2"/>
        <v>-9.2081031307544858E-4</v>
      </c>
      <c r="F88" s="199" cm="1">
        <f t="array" ref="F88">_FV(B88,"Beta")</f>
        <v>1.8701000000000001</v>
      </c>
    </row>
    <row r="89" spans="1:6" x14ac:dyDescent="0.25">
      <c r="A89" s="181" t="s">
        <v>126</v>
      </c>
      <c r="B89" s="173" t="e" vm="87">
        <v>#VALUE!</v>
      </c>
      <c r="C89" s="182" cm="1">
        <f t="array" ref="C89">_FV(B89,"Price")</f>
        <v>134.78</v>
      </c>
      <c r="D89" s="182" cm="1">
        <f t="array" ref="D89">_FV(B89,"Previous close",TRUE)</f>
        <v>121.25</v>
      </c>
      <c r="E89" s="183">
        <f t="shared" si="2"/>
        <v>0.11158762886597939</v>
      </c>
      <c r="F89" s="199" cm="1">
        <f t="array" ref="F89">_FV(B89,"Beta")</f>
        <v>2.3353000000000002</v>
      </c>
    </row>
    <row r="90" spans="1:6" x14ac:dyDescent="0.25">
      <c r="A90" s="181" t="s">
        <v>128</v>
      </c>
      <c r="B90" s="173" t="e" vm="88">
        <v>#VALUE!</v>
      </c>
      <c r="C90" s="182" cm="1">
        <f t="array" ref="C90">_FV(B90,"Price")</f>
        <v>99.81</v>
      </c>
      <c r="D90" s="182" cm="1">
        <f t="array" ref="D90">_FV(B90,"Previous close",TRUE)</f>
        <v>101.06</v>
      </c>
      <c r="E90" s="183">
        <f t="shared" si="2"/>
        <v>-1.2368889768454405E-2</v>
      </c>
      <c r="F90" s="199" cm="1">
        <f t="array" ref="F90">_FV(B90,"Beta")</f>
        <v>2.2482000000000002</v>
      </c>
    </row>
    <row r="91" spans="1:6" x14ac:dyDescent="0.25">
      <c r="A91" s="181" t="s">
        <v>70</v>
      </c>
      <c r="B91" s="173" t="e" vm="89">
        <v>#VALUE!</v>
      </c>
      <c r="C91" s="182" cm="1">
        <f t="array" ref="C91">_FV(B91,"Price")</f>
        <v>838.06</v>
      </c>
      <c r="D91" s="182" cm="1">
        <f t="array" ref="D91">_FV(B91,"Previous close",TRUE)</f>
        <v>826.26</v>
      </c>
      <c r="E91" s="183">
        <f t="shared" si="2"/>
        <v>1.4281218986759603E-2</v>
      </c>
      <c r="F91" s="199" cm="1">
        <f t="array" ref="F91">_FV(B91,"Beta")</f>
        <v>1.5259</v>
      </c>
    </row>
    <row r="92" spans="1:6" x14ac:dyDescent="0.25">
      <c r="A92" s="181" t="s">
        <v>78</v>
      </c>
      <c r="B92" s="173" t="e" vm="90">
        <v>#VALUE!</v>
      </c>
      <c r="C92" s="182" cm="1">
        <f t="array" ref="C92">_FV(B92,"Price")</f>
        <v>27.59</v>
      </c>
      <c r="D92" s="182" cm="1">
        <f t="array" ref="D92">_FV(B92,"Previous close",TRUE)</f>
        <v>25.19</v>
      </c>
      <c r="E92" s="183">
        <f t="shared" si="2"/>
        <v>9.5275903136165185E-2</v>
      </c>
      <c r="F92" s="199" cm="1">
        <f t="array" ref="F92">_FV(B92,"Beta")</f>
        <v>5.577</v>
      </c>
    </row>
    <row r="93" spans="1:6" x14ac:dyDescent="0.25">
      <c r="A93" s="181" t="s">
        <v>104</v>
      </c>
      <c r="B93" s="173" t="e" vm="91">
        <v>#VALUE!</v>
      </c>
      <c r="C93" s="182" cm="1">
        <f t="array" ref="C93">_FV(B93,"Price")</f>
        <v>420.565</v>
      </c>
      <c r="D93" s="182" cm="1">
        <f t="array" ref="D93">_FV(B93,"Previous close",TRUE)</f>
        <v>418.28</v>
      </c>
      <c r="E93" s="183">
        <f t="shared" si="2"/>
        <v>5.4628478531129065E-3</v>
      </c>
      <c r="F93" s="199" cm="1">
        <f t="array" ref="F93">_FV(B93,"Beta")</f>
        <v>1.4730000000000001</v>
      </c>
    </row>
    <row r="94" spans="1:6" x14ac:dyDescent="0.25">
      <c r="A94" s="181" t="s">
        <v>192</v>
      </c>
      <c r="B94" s="173" t="e" vm="92">
        <v>#VALUE!</v>
      </c>
      <c r="C94" s="182" cm="1">
        <f t="array" ref="C94">_FV(B94,"Price")</f>
        <v>687.5</v>
      </c>
      <c r="D94" s="182" cm="1">
        <f t="array" ref="D94">_FV(B94,"Previous close",TRUE)</f>
        <v>543.12</v>
      </c>
      <c r="E94" s="183">
        <f t="shared" si="2"/>
        <v>0.26583443806157026</v>
      </c>
      <c r="F94" s="199" cm="1">
        <f t="array" ref="F94">_FV(B94,"Beta")</f>
        <v>2.8506999999999998</v>
      </c>
    </row>
    <row r="95" spans="1:6" x14ac:dyDescent="0.25">
      <c r="A95" s="181" t="s">
        <v>194</v>
      </c>
      <c r="B95" s="173" t="e" vm="93">
        <v>#VALUE!</v>
      </c>
      <c r="C95" s="182" cm="1">
        <f t="array" ref="C95">_FV(B95,"Price")</f>
        <v>228.96</v>
      </c>
      <c r="D95" s="182" cm="1">
        <f t="array" ref="D95">_FV(B95,"Previous close",TRUE)</f>
        <v>234.33</v>
      </c>
      <c r="E95" s="183">
        <f t="shared" si="2"/>
        <v>-2.2916399948790134E-2</v>
      </c>
      <c r="F95" s="199" cm="1">
        <f t="array" ref="F95">_FV(B95,"Beta")</f>
        <v>3.8252000000000002</v>
      </c>
    </row>
    <row r="96" spans="1:6" x14ac:dyDescent="0.25">
      <c r="A96" s="181" t="s">
        <v>75</v>
      </c>
      <c r="B96" s="173" t="e" vm="94">
        <v>#VALUE!</v>
      </c>
      <c r="C96" s="182" cm="1">
        <f t="array" ref="C96">_FV(B96,"Price")</f>
        <v>117.72</v>
      </c>
      <c r="D96" s="182" cm="1">
        <f t="array" ref="D96">_FV(B96,"Previous close",TRUE)</f>
        <v>117.7</v>
      </c>
      <c r="E96" s="183">
        <f t="shared" si="2"/>
        <v>1.6992353440947738E-4</v>
      </c>
      <c r="F96" s="199" cm="1">
        <f t="array" ref="F96">_FV(B96,"Beta")</f>
        <v>0.49740000000000001</v>
      </c>
    </row>
    <row r="97" spans="1:6" x14ac:dyDescent="0.25">
      <c r="A97" s="181" t="s">
        <v>176</v>
      </c>
      <c r="B97" s="173" t="e" vm="95">
        <v>#VALUE!</v>
      </c>
      <c r="C97" s="182" cm="1">
        <f t="array" ref="C97">_FV(B97,"Price")</f>
        <v>381.32</v>
      </c>
      <c r="D97" s="182" cm="1">
        <f t="array" ref="D97">_FV(B97,"Previous close",TRUE)</f>
        <v>402.38</v>
      </c>
      <c r="E97" s="183">
        <f t="shared" ref="E97:E109" si="3">C97/D97 -1</f>
        <v>-5.2338585416770278E-2</v>
      </c>
      <c r="F97" s="199" cm="1">
        <f t="array" ref="F97">_FV(B97,"Beta")</f>
        <v>1.7707999999999999</v>
      </c>
    </row>
    <row r="98" spans="1:6" x14ac:dyDescent="0.25">
      <c r="A98" s="181" t="s">
        <v>75</v>
      </c>
      <c r="B98" s="173" t="e" vm="94">
        <v>#VALUE!</v>
      </c>
      <c r="C98" s="182" cm="1">
        <f t="array" ref="C98">_FV(B98,"Price")</f>
        <v>117.72</v>
      </c>
      <c r="D98" s="182" cm="1">
        <f t="array" ref="D98">_FV(B98,"Previous close",TRUE)</f>
        <v>117.7</v>
      </c>
      <c r="E98" s="183">
        <f t="shared" si="3"/>
        <v>1.6992353440947738E-4</v>
      </c>
      <c r="F98" s="199" cm="1">
        <f t="array" ref="F98">_FV(B98,"Beta")</f>
        <v>0.49740000000000001</v>
      </c>
    </row>
    <row r="99" spans="1:6" x14ac:dyDescent="0.25">
      <c r="A99" s="181" t="s">
        <v>184</v>
      </c>
      <c r="B99" s="173" t="e" vm="96">
        <v>#VALUE!</v>
      </c>
      <c r="C99" s="182" cm="1">
        <f t="array" ref="C99">_FV(B99,"Price")</f>
        <v>57.59</v>
      </c>
      <c r="D99" s="182" cm="1">
        <f t="array" ref="D99">_FV(B99,"Previous close",TRUE)</f>
        <v>57.51</v>
      </c>
      <c r="E99" s="183">
        <f t="shared" si="3"/>
        <v>1.3910624239263925E-3</v>
      </c>
      <c r="F99" s="199" cm="1">
        <f t="array" ref="F99">_FV(B99,"Beta")</f>
        <v>0.40050000000000002</v>
      </c>
    </row>
    <row r="100" spans="1:6" x14ac:dyDescent="0.25">
      <c r="A100" s="181" t="s">
        <v>141</v>
      </c>
      <c r="B100" s="173" t="e" vm="97">
        <v>#VALUE!</v>
      </c>
      <c r="C100" s="182" cm="1">
        <f t="array" ref="C100">_FV(B100,"Price")</f>
        <v>101.3</v>
      </c>
      <c r="D100" s="182" cm="1">
        <f t="array" ref="D100">_FV(B100,"Previous close",TRUE)</f>
        <v>100.64</v>
      </c>
      <c r="E100" s="183">
        <f t="shared" si="3"/>
        <v>6.558028616852063E-3</v>
      </c>
      <c r="F100" s="199" cm="1">
        <f t="array" ref="F100">_FV(B100,"Beta")</f>
        <v>1.0468999999999999</v>
      </c>
    </row>
    <row r="101" spans="1:6" x14ac:dyDescent="0.25">
      <c r="A101" s="181" t="s">
        <v>71</v>
      </c>
      <c r="B101" s="173" t="e" vm="98">
        <v>#VALUE!</v>
      </c>
      <c r="C101" s="182" cm="1">
        <f t="array" ref="C101">_FV(B101,"Price")</f>
        <v>403.76</v>
      </c>
      <c r="D101" s="182" cm="1">
        <f t="array" ref="D101">_FV(B101,"Previous close",TRUE)</f>
        <v>408.83</v>
      </c>
      <c r="E101" s="183">
        <f t="shared" si="3"/>
        <v>-1.2401242570261428E-2</v>
      </c>
      <c r="F101" s="199" cm="1">
        <f t="array" ref="F101">_FV(B101,"Beta")</f>
        <v>1.3174999999999999</v>
      </c>
    </row>
    <row r="102" spans="1:6" x14ac:dyDescent="0.25">
      <c r="A102" s="181" t="s">
        <v>199</v>
      </c>
      <c r="B102" t="e" vm="99">
        <v>#VALUE!</v>
      </c>
      <c r="C102" s="237" cm="1">
        <f t="array" ref="C102">_FV(B102,"Price")</f>
        <v>120.45</v>
      </c>
      <c r="D102" s="237" cm="1">
        <f t="array" ref="D102">_FV(B102,"Previous close",TRUE)</f>
        <v>120.75</v>
      </c>
      <c r="E102" s="183">
        <f t="shared" si="3"/>
        <v>-2.4844720496893791E-3</v>
      </c>
      <c r="F102" s="199" cm="1">
        <f t="array" ref="F102">_FV(B102,"Beta")</f>
        <v>1.4895</v>
      </c>
    </row>
    <row r="103" spans="1:6" x14ac:dyDescent="0.25">
      <c r="A103" s="181" t="s">
        <v>72</v>
      </c>
      <c r="B103" t="e" vm="100">
        <v>#VALUE!</v>
      </c>
      <c r="C103" s="238" cm="1">
        <f t="array" ref="C103">_FV(B103,"Price")</f>
        <v>45.9</v>
      </c>
      <c r="D103" s="238" cm="1">
        <f t="array" ref="D103">_FV(B103,"Previous close",TRUE)</f>
        <v>49.46</v>
      </c>
      <c r="E103" s="183">
        <f t="shared" si="3"/>
        <v>-7.19773554387384E-2</v>
      </c>
      <c r="F103" s="199" cm="1">
        <f t="array" ref="F103">_FV(B103,"Beta")</f>
        <v>1.6476</v>
      </c>
    </row>
    <row r="104" spans="1:6" x14ac:dyDescent="0.25">
      <c r="A104" s="181"/>
      <c r="B104" t="e" vm="101">
        <v>#VALUE!</v>
      </c>
      <c r="C104" s="238" cm="1">
        <f t="array" ref="C104">_FV(B104,"Price")</f>
        <v>1.1519999999999999</v>
      </c>
      <c r="D104" s="238" cm="1">
        <f t="array" ref="D104">_FV(B104,"Previous close",TRUE)</f>
        <v>1.1524000000000001</v>
      </c>
      <c r="E104" s="183">
        <f t="shared" si="3"/>
        <v>-3.4710170079843561E-4</v>
      </c>
      <c r="F104" s="199" t="e" cm="1" vm="44">
        <f t="array" ref="F104">_FV(B104,"Beta")</f>
        <v>#VALUE!</v>
      </c>
    </row>
    <row r="105" spans="1:6" x14ac:dyDescent="0.25">
      <c r="A105" s="181" t="s">
        <v>73</v>
      </c>
      <c r="B105" t="e" vm="102">
        <v>#VALUE!</v>
      </c>
      <c r="C105" s="238" cm="1">
        <f t="array" ref="C105">_FV(B105,"Price")</f>
        <v>78.33</v>
      </c>
      <c r="D105" s="238" cm="1">
        <f t="array" ref="D105">_FV(B105,"Previous close",TRUE)</f>
        <v>76.91</v>
      </c>
      <c r="E105" s="183">
        <f t="shared" si="3"/>
        <v>1.8463138733584739E-2</v>
      </c>
      <c r="F105" s="199" cm="1">
        <f t="array" ref="F105">_FV(B105,"Beta")</f>
        <v>1.9948999999999999</v>
      </c>
    </row>
    <row r="106" spans="1:6" x14ac:dyDescent="0.25">
      <c r="A106" s="181" t="s">
        <v>137</v>
      </c>
      <c r="B106" s="181" t="e" vm="103">
        <v>#VALUE!</v>
      </c>
      <c r="C106" s="238" cm="1">
        <f t="array" ref="C106">_FV(B106,"Price")</f>
        <v>53.28</v>
      </c>
      <c r="D106" s="238" cm="1">
        <f t="array" ref="D106">_FV(B106,"Previous close",TRUE)</f>
        <v>52.77</v>
      </c>
      <c r="E106" s="183">
        <f t="shared" si="3"/>
        <v>9.6645821489482753E-3</v>
      </c>
      <c r="F106" s="199" cm="1">
        <f t="array" ref="F106">_FV(B106,"Beta")</f>
        <v>1.9384999999999999</v>
      </c>
    </row>
    <row r="107" spans="1:6" x14ac:dyDescent="0.25">
      <c r="A107" s="181" t="s">
        <v>74</v>
      </c>
      <c r="B107" s="181" t="e" vm="104">
        <v>#VALUE!</v>
      </c>
      <c r="C107" s="238" cm="1">
        <f t="array" ref="C107">_FV(B107,"Price")</f>
        <v>278.39999999999998</v>
      </c>
      <c r="D107" s="238" cm="1">
        <f t="array" ref="D107">_FV(B107,"Previous close",TRUE)</f>
        <v>277.72000000000003</v>
      </c>
      <c r="E107" s="183">
        <f t="shared" si="3"/>
        <v>2.4485092899322325E-3</v>
      </c>
      <c r="F107" s="199" cm="1">
        <f t="array" ref="F107">_FV(B107,"Beta")</f>
        <v>1.3201000000000001</v>
      </c>
    </row>
    <row r="108" spans="1:6" x14ac:dyDescent="0.25">
      <c r="A108" s="181" t="s">
        <v>116</v>
      </c>
      <c r="B108" s="181" t="e" vm="105">
        <v>#VALUE!</v>
      </c>
      <c r="C108" s="238" cm="1">
        <f t="array" ref="C108">_FV(B108,"Price")</f>
        <v>61.38</v>
      </c>
      <c r="D108" s="238" cm="1">
        <f t="array" ref="D108">_FV(B108,"Previous close",TRUE)</f>
        <v>60.55</v>
      </c>
      <c r="E108" s="183">
        <f t="shared" si="3"/>
        <v>1.3707679603633505E-2</v>
      </c>
      <c r="F108" s="199" cm="1">
        <f t="array" ref="F108">_FV(B108,"Beta")</f>
        <v>2.0617000000000001</v>
      </c>
    </row>
    <row r="109" spans="1:6" x14ac:dyDescent="0.25">
      <c r="A109" s="181" t="s">
        <v>76</v>
      </c>
      <c r="B109" s="181" t="e" vm="106">
        <v>#VALUE!</v>
      </c>
      <c r="C109" s="238" cm="1">
        <f t="array" ref="C109">_FV(B109,"Price")</f>
        <v>3.75</v>
      </c>
      <c r="D109" s="238" cm="1">
        <f t="array" ref="D109">_FV(B109,"Previous close",TRUE)</f>
        <v>3.75</v>
      </c>
      <c r="E109" s="183">
        <f t="shared" si="3"/>
        <v>0</v>
      </c>
      <c r="F109" s="199" cm="1">
        <f t="array" ref="F109">_FV(B109,"Beta")</f>
        <v>7.0902000000000003</v>
      </c>
    </row>
  </sheetData>
  <conditionalFormatting sqref="E2:E109">
    <cfRule type="iconSet" priority="40">
      <iconSet iconSet="3Arrows">
        <cfvo type="percent" val="0"/>
        <cfvo type="num" val="0"/>
        <cfvo type="num" val="0"/>
      </iconSet>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4BE39-F8A0-49D8-B700-858EDE1AE6DE}">
  <dimension ref="A1:F646"/>
  <sheetViews>
    <sheetView workbookViewId="0"/>
  </sheetViews>
  <sheetFormatPr defaultRowHeight="15" x14ac:dyDescent="0.25"/>
  <sheetData>
    <row r="1" spans="1:6" x14ac:dyDescent="0.25">
      <c r="A1" t="s">
        <v>84</v>
      </c>
      <c r="B1" t="s">
        <v>3</v>
      </c>
      <c r="C1" t="s">
        <v>346</v>
      </c>
      <c r="D1" t="s">
        <v>345</v>
      </c>
      <c r="E1" t="s">
        <v>344</v>
      </c>
      <c r="F1" t="s">
        <v>343</v>
      </c>
    </row>
    <row r="2" spans="1:6" x14ac:dyDescent="0.25">
      <c r="A2">
        <v>3</v>
      </c>
      <c r="B2">
        <v>45475</v>
      </c>
      <c r="C2">
        <v>0</v>
      </c>
      <c r="D2">
        <v>0</v>
      </c>
      <c r="E2" t="s">
        <v>347</v>
      </c>
      <c r="F2">
        <v>2024</v>
      </c>
    </row>
    <row r="3" spans="1:6" x14ac:dyDescent="0.25">
      <c r="A3">
        <v>3</v>
      </c>
      <c r="B3">
        <v>45476</v>
      </c>
      <c r="C3">
        <v>-4.8349373133331798E-3</v>
      </c>
      <c r="D3">
        <v>6.7976847489568098E-3</v>
      </c>
      <c r="E3" t="s">
        <v>347</v>
      </c>
      <c r="F3">
        <v>2024</v>
      </c>
    </row>
    <row r="4" spans="1:6" x14ac:dyDescent="0.25">
      <c r="A4">
        <v>3</v>
      </c>
      <c r="B4">
        <v>45477</v>
      </c>
      <c r="C4">
        <v>0</v>
      </c>
      <c r="D4">
        <v>0</v>
      </c>
      <c r="E4" t="s">
        <v>347</v>
      </c>
      <c r="F4">
        <v>2024</v>
      </c>
    </row>
    <row r="5" spans="1:6" x14ac:dyDescent="0.25">
      <c r="A5">
        <v>3</v>
      </c>
      <c r="B5">
        <v>45478</v>
      </c>
      <c r="C5">
        <v>4.3064953014870799E-4</v>
      </c>
      <c r="D5">
        <v>6.0832943378568097E-3</v>
      </c>
      <c r="E5" t="s">
        <v>347</v>
      </c>
      <c r="F5">
        <v>2024</v>
      </c>
    </row>
    <row r="6" spans="1:6" x14ac:dyDescent="0.25">
      <c r="A6">
        <v>3</v>
      </c>
      <c r="B6">
        <v>45479</v>
      </c>
      <c r="C6">
        <v>0</v>
      </c>
      <c r="D6">
        <v>0</v>
      </c>
      <c r="E6" t="s">
        <v>347</v>
      </c>
      <c r="F6">
        <v>2024</v>
      </c>
    </row>
    <row r="7" spans="1:6" x14ac:dyDescent="0.25">
      <c r="A7">
        <v>3</v>
      </c>
      <c r="B7">
        <v>45480</v>
      </c>
      <c r="C7">
        <v>0</v>
      </c>
      <c r="D7">
        <v>0</v>
      </c>
      <c r="E7" t="s">
        <v>347</v>
      </c>
      <c r="F7">
        <v>2024</v>
      </c>
    </row>
    <row r="8" spans="1:6" x14ac:dyDescent="0.25">
      <c r="A8">
        <v>3</v>
      </c>
      <c r="B8">
        <v>45481</v>
      </c>
      <c r="C8">
        <v>-5.7500095023976805E-4</v>
      </c>
      <c r="D8">
        <v>-1.06312292358801E-3</v>
      </c>
      <c r="E8" t="s">
        <v>347</v>
      </c>
      <c r="F8">
        <v>2024</v>
      </c>
    </row>
    <row r="9" spans="1:6" x14ac:dyDescent="0.25">
      <c r="A9">
        <v>3</v>
      </c>
      <c r="B9">
        <v>45482</v>
      </c>
      <c r="C9">
        <v>4.2572447620514698E-4</v>
      </c>
      <c r="D9">
        <v>5.9864307569501595E-4</v>
      </c>
      <c r="E9" t="s">
        <v>347</v>
      </c>
      <c r="F9">
        <v>2024</v>
      </c>
    </row>
    <row r="10" spans="1:6" x14ac:dyDescent="0.25">
      <c r="A10">
        <v>3</v>
      </c>
      <c r="B10">
        <v>45483</v>
      </c>
      <c r="C10">
        <v>1.7367714441627301E-3</v>
      </c>
      <c r="D10">
        <v>1.0569700192780701E-2</v>
      </c>
      <c r="E10" t="s">
        <v>347</v>
      </c>
      <c r="F10">
        <v>2024</v>
      </c>
    </row>
    <row r="11" spans="1:6" x14ac:dyDescent="0.25">
      <c r="A11">
        <v>3</v>
      </c>
      <c r="B11">
        <v>45484</v>
      </c>
      <c r="C11">
        <v>4.57140949191803E-3</v>
      </c>
      <c r="D11">
        <v>-4.9335613735035401E-3</v>
      </c>
      <c r="E11" t="s">
        <v>347</v>
      </c>
      <c r="F11">
        <v>2024</v>
      </c>
    </row>
    <row r="12" spans="1:6" x14ac:dyDescent="0.25">
      <c r="A12">
        <v>3</v>
      </c>
      <c r="B12">
        <v>45485</v>
      </c>
      <c r="C12">
        <v>3.6253038840539098E-3</v>
      </c>
      <c r="D12">
        <v>7.4700866001189397E-3</v>
      </c>
      <c r="E12" t="s">
        <v>347</v>
      </c>
      <c r="F12">
        <v>2024</v>
      </c>
    </row>
    <row r="13" spans="1:6" x14ac:dyDescent="0.25">
      <c r="A13">
        <v>3</v>
      </c>
      <c r="B13">
        <v>45486</v>
      </c>
      <c r="C13">
        <v>0</v>
      </c>
      <c r="D13">
        <v>0</v>
      </c>
      <c r="E13" t="s">
        <v>347</v>
      </c>
      <c r="F13">
        <v>2024</v>
      </c>
    </row>
    <row r="14" spans="1:6" x14ac:dyDescent="0.25">
      <c r="A14">
        <v>3</v>
      </c>
      <c r="B14">
        <v>45487</v>
      </c>
      <c r="C14">
        <v>0</v>
      </c>
      <c r="D14">
        <v>0</v>
      </c>
      <c r="E14" t="s">
        <v>347</v>
      </c>
      <c r="F14">
        <v>2024</v>
      </c>
    </row>
    <row r="15" spans="1:6" x14ac:dyDescent="0.25">
      <c r="A15">
        <v>3</v>
      </c>
      <c r="B15">
        <v>45488</v>
      </c>
      <c r="C15">
        <v>-4.9070135845763499E-6</v>
      </c>
      <c r="D15">
        <v>6.5616797900291997E-5</v>
      </c>
      <c r="E15" t="s">
        <v>347</v>
      </c>
      <c r="F15">
        <v>2024</v>
      </c>
    </row>
    <row r="16" spans="1:6" x14ac:dyDescent="0.25">
      <c r="A16">
        <v>3</v>
      </c>
      <c r="B16">
        <v>45489</v>
      </c>
      <c r="C16">
        <v>3.04120290325538E-3</v>
      </c>
      <c r="D16">
        <v>5.8395118430549803E-3</v>
      </c>
      <c r="E16" t="s">
        <v>347</v>
      </c>
      <c r="F16">
        <v>2024</v>
      </c>
    </row>
    <row r="17" spans="1:6" x14ac:dyDescent="0.25">
      <c r="A17">
        <v>3</v>
      </c>
      <c r="B17">
        <v>45490</v>
      </c>
      <c r="C17">
        <v>-1.5617889014616401E-3</v>
      </c>
      <c r="D17">
        <v>-1.10893672537509E-2</v>
      </c>
      <c r="E17" t="s">
        <v>347</v>
      </c>
      <c r="F17">
        <v>2024</v>
      </c>
    </row>
    <row r="18" spans="1:6" x14ac:dyDescent="0.25">
      <c r="A18">
        <v>3</v>
      </c>
      <c r="B18">
        <v>45491</v>
      </c>
      <c r="C18">
        <v>-1.61025040688278E-3</v>
      </c>
      <c r="D18">
        <v>-8.9709762532980096E-3</v>
      </c>
      <c r="E18" t="s">
        <v>347</v>
      </c>
      <c r="F18">
        <v>2024</v>
      </c>
    </row>
    <row r="19" spans="1:6" x14ac:dyDescent="0.25">
      <c r="A19">
        <v>3</v>
      </c>
      <c r="B19">
        <v>45492</v>
      </c>
      <c r="C19">
        <v>-4.3683635178803898E-4</v>
      </c>
      <c r="D19">
        <v>-7.0553780617678098E-3</v>
      </c>
      <c r="E19" t="s">
        <v>347</v>
      </c>
      <c r="F19">
        <v>2024</v>
      </c>
    </row>
    <row r="20" spans="1:6" x14ac:dyDescent="0.25">
      <c r="A20">
        <v>3</v>
      </c>
      <c r="B20">
        <v>45493</v>
      </c>
      <c r="C20">
        <v>0</v>
      </c>
      <c r="D20">
        <v>0</v>
      </c>
      <c r="E20" t="s">
        <v>347</v>
      </c>
      <c r="F20">
        <v>2024</v>
      </c>
    </row>
    <row r="21" spans="1:6" x14ac:dyDescent="0.25">
      <c r="A21">
        <v>3</v>
      </c>
      <c r="B21">
        <v>45494</v>
      </c>
      <c r="C21">
        <v>0</v>
      </c>
      <c r="D21">
        <v>0</v>
      </c>
      <c r="E21" t="s">
        <v>347</v>
      </c>
      <c r="F21">
        <v>2024</v>
      </c>
    </row>
    <row r="22" spans="1:6" x14ac:dyDescent="0.25">
      <c r="A22">
        <v>3</v>
      </c>
      <c r="B22">
        <v>45495</v>
      </c>
      <c r="C22">
        <v>1.38353538649416E-3</v>
      </c>
      <c r="D22">
        <v>1.06582651830005E-2</v>
      </c>
      <c r="E22" t="s">
        <v>347</v>
      </c>
      <c r="F22">
        <v>2024</v>
      </c>
    </row>
    <row r="23" spans="1:6" x14ac:dyDescent="0.25">
      <c r="A23">
        <v>3</v>
      </c>
      <c r="B23">
        <v>45496</v>
      </c>
      <c r="C23">
        <v>6.8085669856083903E-3</v>
      </c>
      <c r="D23">
        <v>-3.1836572262388101E-3</v>
      </c>
      <c r="E23" t="s">
        <v>347</v>
      </c>
      <c r="F23">
        <v>2024</v>
      </c>
    </row>
    <row r="24" spans="1:6" x14ac:dyDescent="0.25">
      <c r="A24">
        <v>3</v>
      </c>
      <c r="B24">
        <v>45497</v>
      </c>
      <c r="C24">
        <v>-2.7852151437166598E-3</v>
      </c>
      <c r="D24">
        <v>-2.0360636103533201E-2</v>
      </c>
      <c r="E24" t="s">
        <v>347</v>
      </c>
      <c r="F24">
        <v>2024</v>
      </c>
    </row>
    <row r="25" spans="1:6" x14ac:dyDescent="0.25">
      <c r="A25">
        <v>3</v>
      </c>
      <c r="B25">
        <v>45498</v>
      </c>
      <c r="C25">
        <v>5.5682032135795401E-5</v>
      </c>
      <c r="D25">
        <v>-4.9582286218841096E-3</v>
      </c>
      <c r="E25" t="s">
        <v>347</v>
      </c>
      <c r="F25">
        <v>2024</v>
      </c>
    </row>
    <row r="26" spans="1:6" x14ac:dyDescent="0.25">
      <c r="A26">
        <v>3</v>
      </c>
      <c r="B26">
        <v>45499</v>
      </c>
      <c r="C26">
        <v>2.4854910189717702E-3</v>
      </c>
      <c r="D26">
        <v>1.1126279863481201E-2</v>
      </c>
      <c r="E26" t="s">
        <v>347</v>
      </c>
      <c r="F26">
        <v>2024</v>
      </c>
    </row>
    <row r="27" spans="1:6" x14ac:dyDescent="0.25">
      <c r="A27">
        <v>3</v>
      </c>
      <c r="B27">
        <v>45500</v>
      </c>
      <c r="C27">
        <v>0</v>
      </c>
      <c r="D27">
        <v>0</v>
      </c>
      <c r="E27" t="s">
        <v>347</v>
      </c>
      <c r="F27">
        <v>2024</v>
      </c>
    </row>
    <row r="28" spans="1:6" x14ac:dyDescent="0.25">
      <c r="A28">
        <v>3</v>
      </c>
      <c r="B28">
        <v>45501</v>
      </c>
      <c r="C28">
        <v>0</v>
      </c>
      <c r="D28">
        <v>0</v>
      </c>
      <c r="E28" t="s">
        <v>347</v>
      </c>
      <c r="F28">
        <v>2024</v>
      </c>
    </row>
    <row r="29" spans="1:6" x14ac:dyDescent="0.25">
      <c r="A29">
        <v>3</v>
      </c>
      <c r="B29">
        <v>45502</v>
      </c>
      <c r="C29">
        <v>1.8103860172180599E-4</v>
      </c>
      <c r="D29">
        <v>-3.3754134881513998E-4</v>
      </c>
      <c r="E29" t="s">
        <v>347</v>
      </c>
      <c r="F29">
        <v>2024</v>
      </c>
    </row>
    <row r="30" spans="1:6" x14ac:dyDescent="0.25">
      <c r="A30">
        <v>3</v>
      </c>
      <c r="B30">
        <v>45503</v>
      </c>
      <c r="C30">
        <v>2.3950324536170498E-3</v>
      </c>
      <c r="D30">
        <v>-2.83630470016216E-3</v>
      </c>
      <c r="E30" t="s">
        <v>347</v>
      </c>
      <c r="F30">
        <v>2024</v>
      </c>
    </row>
    <row r="31" spans="1:6" x14ac:dyDescent="0.25">
      <c r="A31">
        <v>3</v>
      </c>
      <c r="B31">
        <v>45504</v>
      </c>
      <c r="C31">
        <v>2.2777257901458502E-3</v>
      </c>
      <c r="D31">
        <v>1.5644047135310798E-2</v>
      </c>
      <c r="E31" t="s">
        <v>347</v>
      </c>
      <c r="F31">
        <v>2024</v>
      </c>
    </row>
    <row r="32" spans="1:6" x14ac:dyDescent="0.25">
      <c r="A32">
        <v>3</v>
      </c>
      <c r="B32">
        <v>45505</v>
      </c>
      <c r="C32">
        <v>-6.1583775340795502E-3</v>
      </c>
      <c r="D32">
        <v>-1.7736880709475201E-2</v>
      </c>
      <c r="E32" t="s">
        <v>349</v>
      </c>
      <c r="F32">
        <v>2024</v>
      </c>
    </row>
    <row r="33" spans="1:6" x14ac:dyDescent="0.25">
      <c r="A33">
        <v>3</v>
      </c>
      <c r="B33">
        <v>45506</v>
      </c>
      <c r="C33">
        <v>-4.6666133643882297E-3</v>
      </c>
      <c r="D33">
        <v>-1.8260810535605101E-2</v>
      </c>
      <c r="E33" t="s">
        <v>349</v>
      </c>
      <c r="F33">
        <v>2024</v>
      </c>
    </row>
    <row r="34" spans="1:6" x14ac:dyDescent="0.25">
      <c r="A34">
        <v>3</v>
      </c>
      <c r="B34">
        <v>45507</v>
      </c>
      <c r="C34">
        <v>0</v>
      </c>
      <c r="D34">
        <v>0</v>
      </c>
      <c r="E34" t="s">
        <v>349</v>
      </c>
      <c r="F34">
        <v>2024</v>
      </c>
    </row>
    <row r="35" spans="1:6" x14ac:dyDescent="0.25">
      <c r="A35">
        <v>3</v>
      </c>
      <c r="B35">
        <v>45508</v>
      </c>
      <c r="C35">
        <v>0</v>
      </c>
      <c r="D35">
        <v>0</v>
      </c>
      <c r="E35" t="s">
        <v>349</v>
      </c>
      <c r="F35">
        <v>2024</v>
      </c>
    </row>
    <row r="36" spans="1:6" x14ac:dyDescent="0.25">
      <c r="A36">
        <v>3</v>
      </c>
      <c r="B36">
        <v>45509</v>
      </c>
      <c r="C36">
        <v>-8.7550704535457307E-3</v>
      </c>
      <c r="D36">
        <v>-2.72438113677222E-2</v>
      </c>
      <c r="E36" t="s">
        <v>349</v>
      </c>
      <c r="F36">
        <v>2024</v>
      </c>
    </row>
    <row r="37" spans="1:6" x14ac:dyDescent="0.25">
      <c r="A37">
        <v>3</v>
      </c>
      <c r="B37">
        <v>45510</v>
      </c>
      <c r="C37">
        <v>2.2029179075366799E-3</v>
      </c>
      <c r="D37">
        <v>7.6769974410007E-3</v>
      </c>
      <c r="E37" t="s">
        <v>349</v>
      </c>
      <c r="F37">
        <v>2024</v>
      </c>
    </row>
    <row r="38" spans="1:6" x14ac:dyDescent="0.25">
      <c r="A38">
        <v>3</v>
      </c>
      <c r="B38">
        <v>45511</v>
      </c>
      <c r="C38">
        <v>-1.9359984929311299E-3</v>
      </c>
      <c r="D38">
        <v>-4.09142212189606E-3</v>
      </c>
      <c r="E38" t="s">
        <v>349</v>
      </c>
      <c r="F38">
        <v>2024</v>
      </c>
    </row>
    <row r="39" spans="1:6" x14ac:dyDescent="0.25">
      <c r="A39">
        <v>3</v>
      </c>
      <c r="B39">
        <v>45512</v>
      </c>
      <c r="C39">
        <v>1.07077518454879E-2</v>
      </c>
      <c r="D39">
        <v>2.1249468763280901E-2</v>
      </c>
      <c r="E39" t="s">
        <v>349</v>
      </c>
      <c r="F39">
        <v>2024</v>
      </c>
    </row>
    <row r="40" spans="1:6" x14ac:dyDescent="0.25">
      <c r="A40">
        <v>3</v>
      </c>
      <c r="B40">
        <v>45513</v>
      </c>
      <c r="C40">
        <v>1.8029477095604699E-3</v>
      </c>
      <c r="D40">
        <v>5.8954085171312202E-3</v>
      </c>
      <c r="E40" t="s">
        <v>349</v>
      </c>
      <c r="F40">
        <v>2024</v>
      </c>
    </row>
    <row r="41" spans="1:6" x14ac:dyDescent="0.25">
      <c r="A41">
        <v>3</v>
      </c>
      <c r="B41">
        <v>45514</v>
      </c>
      <c r="C41">
        <v>0</v>
      </c>
      <c r="D41">
        <v>0</v>
      </c>
      <c r="E41" t="s">
        <v>349</v>
      </c>
      <c r="F41">
        <v>2024</v>
      </c>
    </row>
    <row r="42" spans="1:6" x14ac:dyDescent="0.25">
      <c r="A42">
        <v>3</v>
      </c>
      <c r="B42">
        <v>45515</v>
      </c>
      <c r="C42">
        <v>0</v>
      </c>
      <c r="D42">
        <v>0</v>
      </c>
      <c r="E42" t="s">
        <v>349</v>
      </c>
      <c r="F42">
        <v>2024</v>
      </c>
    </row>
    <row r="43" spans="1:6" x14ac:dyDescent="0.25">
      <c r="A43">
        <v>3</v>
      </c>
      <c r="B43">
        <v>45516</v>
      </c>
      <c r="C43">
        <v>5.03533574149007E-4</v>
      </c>
      <c r="D43">
        <v>-8.9636626904776595E-4</v>
      </c>
      <c r="E43" t="s">
        <v>349</v>
      </c>
      <c r="F43">
        <v>2024</v>
      </c>
    </row>
    <row r="44" spans="1:6" x14ac:dyDescent="0.25">
      <c r="A44">
        <v>3</v>
      </c>
      <c r="B44">
        <v>45517</v>
      </c>
      <c r="C44">
        <v>1.3599887759987E-2</v>
      </c>
      <c r="D44">
        <v>1.7391304347826E-2</v>
      </c>
      <c r="E44" t="s">
        <v>349</v>
      </c>
      <c r="F44">
        <v>2024</v>
      </c>
    </row>
    <row r="45" spans="1:6" x14ac:dyDescent="0.25">
      <c r="A45">
        <v>3</v>
      </c>
      <c r="B45">
        <v>45518</v>
      </c>
      <c r="C45">
        <v>1.9122989833448799E-3</v>
      </c>
      <c r="D45">
        <v>3.0525030525032598E-3</v>
      </c>
      <c r="E45" t="s">
        <v>349</v>
      </c>
      <c r="F45">
        <v>2024</v>
      </c>
    </row>
    <row r="46" spans="1:6" x14ac:dyDescent="0.25">
      <c r="A46">
        <v>3</v>
      </c>
      <c r="B46">
        <v>45519</v>
      </c>
      <c r="C46">
        <v>1.42470979354126E-2</v>
      </c>
      <c r="D46">
        <v>1.50131872590789E-2</v>
      </c>
      <c r="E46" t="s">
        <v>349</v>
      </c>
      <c r="F46">
        <v>2024</v>
      </c>
    </row>
    <row r="47" spans="1:6" x14ac:dyDescent="0.25">
      <c r="A47">
        <v>3</v>
      </c>
      <c r="B47">
        <v>45520</v>
      </c>
      <c r="C47">
        <v>3.9853744145708098E-3</v>
      </c>
      <c r="D47">
        <v>4.1308548204410699E-3</v>
      </c>
      <c r="E47" t="s">
        <v>349</v>
      </c>
      <c r="F47">
        <v>2024</v>
      </c>
    </row>
    <row r="48" spans="1:6" x14ac:dyDescent="0.25">
      <c r="A48">
        <v>3</v>
      </c>
      <c r="B48">
        <v>45521</v>
      </c>
      <c r="C48">
        <v>0</v>
      </c>
      <c r="D48">
        <v>0</v>
      </c>
      <c r="E48" t="s">
        <v>349</v>
      </c>
      <c r="F48">
        <v>2024</v>
      </c>
    </row>
    <row r="49" spans="1:6" x14ac:dyDescent="0.25">
      <c r="A49">
        <v>3</v>
      </c>
      <c r="B49">
        <v>45522</v>
      </c>
      <c r="C49">
        <v>0</v>
      </c>
      <c r="D49">
        <v>0</v>
      </c>
      <c r="E49" t="s">
        <v>349</v>
      </c>
      <c r="F49">
        <v>2024</v>
      </c>
    </row>
    <row r="50" spans="1:6" x14ac:dyDescent="0.25">
      <c r="A50">
        <v>3</v>
      </c>
      <c r="B50">
        <v>45523</v>
      </c>
      <c r="C50">
        <v>1.1927821336523E-2</v>
      </c>
      <c r="D50">
        <v>1.00192422533341E-2</v>
      </c>
      <c r="E50" t="s">
        <v>349</v>
      </c>
      <c r="F50">
        <v>2024</v>
      </c>
    </row>
    <row r="51" spans="1:6" x14ac:dyDescent="0.25">
      <c r="A51">
        <v>3</v>
      </c>
      <c r="B51">
        <v>45524</v>
      </c>
      <c r="C51">
        <v>-4.2723427355050303E-3</v>
      </c>
      <c r="D51">
        <v>-1.4452765733806701E-3</v>
      </c>
      <c r="E51" t="s">
        <v>349</v>
      </c>
      <c r="F51">
        <v>2024</v>
      </c>
    </row>
    <row r="52" spans="1:6" x14ac:dyDescent="0.25">
      <c r="A52">
        <v>3</v>
      </c>
      <c r="B52">
        <v>45525</v>
      </c>
      <c r="C52">
        <v>5.4325568257800301E-3</v>
      </c>
      <c r="D52">
        <v>5.7236842105263799E-3</v>
      </c>
      <c r="E52" t="s">
        <v>349</v>
      </c>
      <c r="F52">
        <v>2024</v>
      </c>
    </row>
    <row r="53" spans="1:6" x14ac:dyDescent="0.25">
      <c r="A53">
        <v>3</v>
      </c>
      <c r="B53">
        <v>45526</v>
      </c>
      <c r="C53">
        <v>-9.0028535210866494E-3</v>
      </c>
      <c r="D53">
        <v>-9.0272780794138398E-3</v>
      </c>
      <c r="E53" t="s">
        <v>349</v>
      </c>
      <c r="F53">
        <v>2024</v>
      </c>
    </row>
    <row r="54" spans="1:6" x14ac:dyDescent="0.25">
      <c r="A54">
        <v>3</v>
      </c>
      <c r="B54">
        <v>45527</v>
      </c>
      <c r="C54">
        <v>1.4696549086738101E-2</v>
      </c>
      <c r="D54">
        <v>1.52485312561885E-2</v>
      </c>
      <c r="E54" t="s">
        <v>349</v>
      </c>
      <c r="F54">
        <v>2024</v>
      </c>
    </row>
    <row r="55" spans="1:6" x14ac:dyDescent="0.25">
      <c r="A55">
        <v>3</v>
      </c>
      <c r="B55">
        <v>45528</v>
      </c>
      <c r="C55">
        <v>0</v>
      </c>
      <c r="D55">
        <v>0</v>
      </c>
      <c r="E55" t="s">
        <v>349</v>
      </c>
      <c r="F55">
        <v>2024</v>
      </c>
    </row>
    <row r="56" spans="1:6" x14ac:dyDescent="0.25">
      <c r="A56">
        <v>3</v>
      </c>
      <c r="B56">
        <v>45529</v>
      </c>
      <c r="C56">
        <v>0</v>
      </c>
      <c r="D56">
        <v>0</v>
      </c>
      <c r="E56" t="s">
        <v>349</v>
      </c>
      <c r="F56">
        <v>2024</v>
      </c>
    </row>
    <row r="57" spans="1:6" x14ac:dyDescent="0.25">
      <c r="A57">
        <v>3</v>
      </c>
      <c r="B57">
        <v>45530</v>
      </c>
      <c r="C57">
        <v>-4.3588564753841404E-3</v>
      </c>
      <c r="D57">
        <v>-2.8608582574772799E-3</v>
      </c>
      <c r="E57" t="s">
        <v>349</v>
      </c>
      <c r="F57">
        <v>2024</v>
      </c>
    </row>
    <row r="58" spans="1:6" x14ac:dyDescent="0.25">
      <c r="A58">
        <v>3</v>
      </c>
      <c r="B58">
        <v>45531</v>
      </c>
      <c r="C58">
        <v>1.92746245373754E-3</v>
      </c>
      <c r="D58">
        <v>1.4997391757953799E-3</v>
      </c>
      <c r="E58" t="s">
        <v>349</v>
      </c>
      <c r="F58">
        <v>2024</v>
      </c>
    </row>
    <row r="59" spans="1:6" x14ac:dyDescent="0.25">
      <c r="A59">
        <v>3</v>
      </c>
      <c r="B59">
        <v>45532</v>
      </c>
      <c r="C59">
        <v>-5.7960134519458003E-3</v>
      </c>
      <c r="D59">
        <v>-4.7529136011458303E-3</v>
      </c>
      <c r="E59" t="s">
        <v>349</v>
      </c>
      <c r="F59">
        <v>2024</v>
      </c>
    </row>
    <row r="60" spans="1:6" x14ac:dyDescent="0.25">
      <c r="A60">
        <v>3</v>
      </c>
      <c r="B60">
        <v>45533</v>
      </c>
      <c r="C60">
        <v>-2.4565503455257201E-3</v>
      </c>
      <c r="D60">
        <v>6.5419337956296197E-4</v>
      </c>
      <c r="E60" t="s">
        <v>349</v>
      </c>
      <c r="F60">
        <v>2024</v>
      </c>
    </row>
    <row r="61" spans="1:6" x14ac:dyDescent="0.25">
      <c r="A61">
        <v>3</v>
      </c>
      <c r="B61">
        <v>45534</v>
      </c>
      <c r="C61">
        <v>6.2587083385785601E-3</v>
      </c>
      <c r="D61">
        <v>7.97594142259417E-3</v>
      </c>
      <c r="E61" t="s">
        <v>349</v>
      </c>
      <c r="F61">
        <v>2024</v>
      </c>
    </row>
    <row r="62" spans="1:6" x14ac:dyDescent="0.25">
      <c r="A62">
        <v>3</v>
      </c>
      <c r="B62">
        <v>45535</v>
      </c>
      <c r="C62">
        <v>0</v>
      </c>
      <c r="D62">
        <v>0</v>
      </c>
      <c r="E62" t="s">
        <v>349</v>
      </c>
      <c r="F62">
        <v>2024</v>
      </c>
    </row>
    <row r="63" spans="1:6" x14ac:dyDescent="0.25">
      <c r="A63">
        <v>3</v>
      </c>
      <c r="B63">
        <v>45536</v>
      </c>
      <c r="C63">
        <v>0</v>
      </c>
      <c r="D63">
        <v>0</v>
      </c>
      <c r="E63" t="s">
        <v>351</v>
      </c>
      <c r="F63">
        <v>2024</v>
      </c>
    </row>
    <row r="64" spans="1:6" x14ac:dyDescent="0.25">
      <c r="A64">
        <v>3</v>
      </c>
      <c r="B64">
        <v>45537</v>
      </c>
      <c r="C64">
        <v>0</v>
      </c>
      <c r="D64">
        <v>0</v>
      </c>
      <c r="E64" t="s">
        <v>351</v>
      </c>
      <c r="F64">
        <v>2024</v>
      </c>
    </row>
    <row r="65" spans="1:6" x14ac:dyDescent="0.25">
      <c r="A65">
        <v>3</v>
      </c>
      <c r="B65">
        <v>45538</v>
      </c>
      <c r="C65">
        <v>-2.4140729894709199E-2</v>
      </c>
      <c r="D65">
        <v>-2.05603839667922E-2</v>
      </c>
      <c r="E65" t="s">
        <v>351</v>
      </c>
      <c r="F65">
        <v>2024</v>
      </c>
    </row>
    <row r="66" spans="1:6" x14ac:dyDescent="0.25">
      <c r="A66">
        <v>3</v>
      </c>
      <c r="B66">
        <v>45539</v>
      </c>
      <c r="C66">
        <v>-4.1245807175208597E-3</v>
      </c>
      <c r="D66">
        <v>-1.9204026223428299E-3</v>
      </c>
      <c r="E66" t="s">
        <v>351</v>
      </c>
      <c r="F66">
        <v>2024</v>
      </c>
    </row>
    <row r="67" spans="1:6" x14ac:dyDescent="0.25">
      <c r="A67">
        <v>3</v>
      </c>
      <c r="B67">
        <v>45540</v>
      </c>
      <c r="C67">
        <v>-6.2781571505778899E-3</v>
      </c>
      <c r="D67">
        <v>-3.5164543524416302E-3</v>
      </c>
      <c r="E67" t="s">
        <v>351</v>
      </c>
      <c r="F67">
        <v>2024</v>
      </c>
    </row>
    <row r="68" spans="1:6" x14ac:dyDescent="0.25">
      <c r="A68">
        <v>3</v>
      </c>
      <c r="B68">
        <v>45541</v>
      </c>
      <c r="C68">
        <v>-9.1073452241483607E-3</v>
      </c>
      <c r="D68">
        <v>-1.6246088288168301E-2</v>
      </c>
      <c r="E68" t="s">
        <v>351</v>
      </c>
      <c r="F68">
        <v>2024</v>
      </c>
    </row>
    <row r="69" spans="1:6" x14ac:dyDescent="0.25">
      <c r="A69">
        <v>3</v>
      </c>
      <c r="B69">
        <v>45542</v>
      </c>
      <c r="C69">
        <v>0</v>
      </c>
      <c r="D69">
        <v>0</v>
      </c>
      <c r="E69" t="s">
        <v>351</v>
      </c>
      <c r="F69">
        <v>2024</v>
      </c>
    </row>
    <row r="70" spans="1:6" x14ac:dyDescent="0.25">
      <c r="A70">
        <v>3</v>
      </c>
      <c r="B70">
        <v>45543</v>
      </c>
      <c r="C70">
        <v>0</v>
      </c>
      <c r="D70">
        <v>0</v>
      </c>
      <c r="E70" t="s">
        <v>351</v>
      </c>
      <c r="F70">
        <v>2024</v>
      </c>
    </row>
    <row r="71" spans="1:6" x14ac:dyDescent="0.25">
      <c r="A71">
        <v>3</v>
      </c>
      <c r="B71">
        <v>45544</v>
      </c>
      <c r="C71">
        <v>9.1910513013224691E-3</v>
      </c>
      <c r="D71">
        <v>1.0693739424704E-2</v>
      </c>
      <c r="E71" t="s">
        <v>351</v>
      </c>
      <c r="F71">
        <v>2024</v>
      </c>
    </row>
    <row r="72" spans="1:6" x14ac:dyDescent="0.25">
      <c r="A72">
        <v>3</v>
      </c>
      <c r="B72">
        <v>45545</v>
      </c>
      <c r="C72">
        <v>2.9251511902042E-3</v>
      </c>
      <c r="D72">
        <v>2.7455969999330399E-3</v>
      </c>
      <c r="E72" t="s">
        <v>351</v>
      </c>
      <c r="F72">
        <v>2024</v>
      </c>
    </row>
    <row r="73" spans="1:6" x14ac:dyDescent="0.25">
      <c r="A73">
        <v>3</v>
      </c>
      <c r="B73">
        <v>45546</v>
      </c>
      <c r="C73">
        <v>9.81121936652052E-3</v>
      </c>
      <c r="D73">
        <v>9.8170161613462294E-3</v>
      </c>
      <c r="E73" t="s">
        <v>351</v>
      </c>
      <c r="F73">
        <v>2024</v>
      </c>
    </row>
    <row r="74" spans="1:6" x14ac:dyDescent="0.25">
      <c r="A74">
        <v>3</v>
      </c>
      <c r="B74">
        <v>45547</v>
      </c>
      <c r="C74">
        <v>7.6915389825282796E-3</v>
      </c>
      <c r="D74">
        <v>7.60531710865697E-3</v>
      </c>
      <c r="E74" t="s">
        <v>351</v>
      </c>
      <c r="F74">
        <v>2024</v>
      </c>
    </row>
    <row r="75" spans="1:6" x14ac:dyDescent="0.25">
      <c r="A75">
        <v>3</v>
      </c>
      <c r="B75">
        <v>45548</v>
      </c>
      <c r="C75">
        <v>6.2787261079868496E-3</v>
      </c>
      <c r="D75">
        <v>5.1194539249144197E-3</v>
      </c>
      <c r="E75" t="s">
        <v>351</v>
      </c>
      <c r="F75">
        <v>2024</v>
      </c>
    </row>
    <row r="76" spans="1:6" x14ac:dyDescent="0.25">
      <c r="A76">
        <v>3</v>
      </c>
      <c r="B76">
        <v>45549</v>
      </c>
      <c r="C76">
        <v>0</v>
      </c>
      <c r="D76">
        <v>0</v>
      </c>
      <c r="E76" t="s">
        <v>351</v>
      </c>
      <c r="F76">
        <v>2024</v>
      </c>
    </row>
    <row r="77" spans="1:6" x14ac:dyDescent="0.25">
      <c r="A77">
        <v>3</v>
      </c>
      <c r="B77">
        <v>45550</v>
      </c>
      <c r="C77">
        <v>0</v>
      </c>
      <c r="D77">
        <v>0</v>
      </c>
      <c r="E77" t="s">
        <v>351</v>
      </c>
      <c r="F77">
        <v>2024</v>
      </c>
    </row>
    <row r="78" spans="1:6" x14ac:dyDescent="0.25">
      <c r="A78">
        <v>3</v>
      </c>
      <c r="B78">
        <v>45551</v>
      </c>
      <c r="C78">
        <v>3.7891877026816601E-3</v>
      </c>
      <c r="D78">
        <v>3.4608854642810302E-3</v>
      </c>
      <c r="E78" t="s">
        <v>351</v>
      </c>
      <c r="F78">
        <v>2024</v>
      </c>
    </row>
    <row r="79" spans="1:6" x14ac:dyDescent="0.25">
      <c r="A79">
        <v>3</v>
      </c>
      <c r="B79">
        <v>45552</v>
      </c>
      <c r="C79">
        <v>3.7899604457702901E-4</v>
      </c>
      <c r="D79">
        <v>-1.6268627578577301E-3</v>
      </c>
      <c r="E79" t="s">
        <v>351</v>
      </c>
      <c r="F79">
        <v>2024</v>
      </c>
    </row>
    <row r="80" spans="1:6" x14ac:dyDescent="0.25">
      <c r="A80">
        <v>3</v>
      </c>
      <c r="B80">
        <v>45553</v>
      </c>
      <c r="C80">
        <v>-1.24707114081324E-3</v>
      </c>
      <c r="D80">
        <v>-2.6724025550775E-3</v>
      </c>
      <c r="E80" t="s">
        <v>351</v>
      </c>
      <c r="F80">
        <v>2024</v>
      </c>
    </row>
    <row r="81" spans="1:6" x14ac:dyDescent="0.25">
      <c r="A81">
        <v>3</v>
      </c>
      <c r="B81">
        <v>45554</v>
      </c>
      <c r="C81">
        <v>1.0572922298929701E-2</v>
      </c>
      <c r="D81">
        <v>1.7319129468662299E-2</v>
      </c>
      <c r="E81" t="s">
        <v>351</v>
      </c>
      <c r="F81">
        <v>2024</v>
      </c>
    </row>
    <row r="82" spans="1:6" x14ac:dyDescent="0.25">
      <c r="A82">
        <v>3</v>
      </c>
      <c r="B82">
        <v>45555</v>
      </c>
      <c r="C82">
        <v>-2.6024973530200902E-3</v>
      </c>
      <c r="D82">
        <v>-3.5333418990105602E-3</v>
      </c>
      <c r="E82" t="s">
        <v>351</v>
      </c>
      <c r="F82">
        <v>2024</v>
      </c>
    </row>
    <row r="83" spans="1:6" x14ac:dyDescent="0.25">
      <c r="A83">
        <v>3</v>
      </c>
      <c r="B83">
        <v>45556</v>
      </c>
      <c r="C83">
        <v>0</v>
      </c>
      <c r="D83">
        <v>6.4470375862291096E-3</v>
      </c>
      <c r="E83" t="s">
        <v>351</v>
      </c>
      <c r="F83">
        <v>2024</v>
      </c>
    </row>
    <row r="84" spans="1:6" x14ac:dyDescent="0.25">
      <c r="A84">
        <v>3</v>
      </c>
      <c r="B84">
        <v>45557</v>
      </c>
      <c r="C84">
        <v>0</v>
      </c>
      <c r="D84">
        <v>6.4057395426302399E-3</v>
      </c>
      <c r="E84" t="s">
        <v>351</v>
      </c>
      <c r="F84">
        <v>2024</v>
      </c>
    </row>
    <row r="85" spans="1:6" x14ac:dyDescent="0.25">
      <c r="A85">
        <v>3</v>
      </c>
      <c r="B85">
        <v>45558</v>
      </c>
      <c r="C85">
        <v>4.6669338293336998E-4</v>
      </c>
      <c r="D85">
        <v>-9.7383998472407897E-3</v>
      </c>
      <c r="E85" t="s">
        <v>351</v>
      </c>
      <c r="F85">
        <v>2024</v>
      </c>
    </row>
    <row r="86" spans="1:6" x14ac:dyDescent="0.25">
      <c r="A86">
        <v>3</v>
      </c>
      <c r="B86">
        <v>45559</v>
      </c>
      <c r="C86">
        <v>1.88030234944647E-3</v>
      </c>
      <c r="D86">
        <v>3.1495050777734499E-3</v>
      </c>
      <c r="E86" t="s">
        <v>351</v>
      </c>
      <c r="F86">
        <v>2024</v>
      </c>
    </row>
    <row r="87" spans="1:6" x14ac:dyDescent="0.25">
      <c r="A87">
        <v>3</v>
      </c>
      <c r="B87">
        <v>45560</v>
      </c>
      <c r="C87">
        <v>-3.8360915843799201E-3</v>
      </c>
      <c r="D87">
        <v>-2.4988787082718101E-3</v>
      </c>
      <c r="E87" t="s">
        <v>351</v>
      </c>
      <c r="F87">
        <v>2024</v>
      </c>
    </row>
    <row r="88" spans="1:6" x14ac:dyDescent="0.25">
      <c r="A88">
        <v>3</v>
      </c>
      <c r="B88">
        <v>45561</v>
      </c>
      <c r="C88">
        <v>4.7849280199438998E-3</v>
      </c>
      <c r="D88">
        <v>9.1212744090440907E-3</v>
      </c>
      <c r="E88" t="s">
        <v>351</v>
      </c>
      <c r="F88">
        <v>2024</v>
      </c>
    </row>
    <row r="89" spans="1:6" x14ac:dyDescent="0.25">
      <c r="A89">
        <v>3</v>
      </c>
      <c r="B89">
        <v>45562</v>
      </c>
      <c r="C89">
        <v>1.2764251745192E-3</v>
      </c>
      <c r="D89">
        <v>-4.6467218332272298E-3</v>
      </c>
      <c r="E89" t="s">
        <v>351</v>
      </c>
      <c r="F89">
        <v>2024</v>
      </c>
    </row>
    <row r="90" spans="1:6" x14ac:dyDescent="0.25">
      <c r="A90">
        <v>3</v>
      </c>
      <c r="B90">
        <v>45563</v>
      </c>
      <c r="C90">
        <v>0</v>
      </c>
      <c r="D90">
        <v>0</v>
      </c>
      <c r="E90" t="s">
        <v>351</v>
      </c>
      <c r="F90">
        <v>2024</v>
      </c>
    </row>
    <row r="91" spans="1:6" x14ac:dyDescent="0.25">
      <c r="A91">
        <v>3</v>
      </c>
      <c r="B91">
        <v>45564</v>
      </c>
      <c r="C91">
        <v>0</v>
      </c>
      <c r="D91">
        <v>0</v>
      </c>
      <c r="E91" t="s">
        <v>351</v>
      </c>
      <c r="F91">
        <v>2024</v>
      </c>
    </row>
    <row r="92" spans="1:6" x14ac:dyDescent="0.25">
      <c r="A92">
        <v>3</v>
      </c>
      <c r="B92">
        <v>45565</v>
      </c>
      <c r="C92">
        <v>1.4557527654668299E-3</v>
      </c>
      <c r="D92">
        <v>3.4533478288674099E-3</v>
      </c>
      <c r="E92" t="s">
        <v>351</v>
      </c>
      <c r="F92">
        <v>2024</v>
      </c>
    </row>
    <row r="93" spans="1:6" x14ac:dyDescent="0.25">
      <c r="A93">
        <v>4</v>
      </c>
      <c r="B93">
        <v>45566</v>
      </c>
      <c r="C93">
        <v>-5.8222129850665797E-3</v>
      </c>
      <c r="D93">
        <v>-8.2850041425019897E-3</v>
      </c>
      <c r="E93" t="s">
        <v>353</v>
      </c>
      <c r="F93">
        <v>2024</v>
      </c>
    </row>
    <row r="94" spans="1:6" x14ac:dyDescent="0.25">
      <c r="A94">
        <v>4</v>
      </c>
      <c r="B94">
        <v>45567</v>
      </c>
      <c r="C94">
        <v>-2.9262426664861101E-3</v>
      </c>
      <c r="D94">
        <v>-2.8918449971082599E-3</v>
      </c>
      <c r="E94" t="s">
        <v>353</v>
      </c>
      <c r="F94">
        <v>2024</v>
      </c>
    </row>
    <row r="95" spans="1:6" x14ac:dyDescent="0.25">
      <c r="A95">
        <v>4</v>
      </c>
      <c r="B95">
        <v>45568</v>
      </c>
      <c r="C95">
        <v>6.0111368886284197E-5</v>
      </c>
      <c r="D95">
        <v>-3.2224800206226401E-4</v>
      </c>
      <c r="E95" t="s">
        <v>353</v>
      </c>
      <c r="F95">
        <v>2024</v>
      </c>
    </row>
    <row r="96" spans="1:6" x14ac:dyDescent="0.25">
      <c r="A96">
        <v>4</v>
      </c>
      <c r="B96">
        <v>45569</v>
      </c>
      <c r="C96">
        <v>4.1413206271239096E-3</v>
      </c>
      <c r="D96">
        <v>7.9298562310616792E-3</v>
      </c>
      <c r="E96" t="s">
        <v>353</v>
      </c>
      <c r="F96">
        <v>2024</v>
      </c>
    </row>
    <row r="97" spans="1:6" x14ac:dyDescent="0.25">
      <c r="A97">
        <v>4</v>
      </c>
      <c r="B97">
        <v>45570</v>
      </c>
      <c r="C97">
        <v>0</v>
      </c>
      <c r="D97">
        <v>0</v>
      </c>
      <c r="E97" t="s">
        <v>353</v>
      </c>
      <c r="F97">
        <v>2024</v>
      </c>
    </row>
    <row r="98" spans="1:6" x14ac:dyDescent="0.25">
      <c r="A98">
        <v>4</v>
      </c>
      <c r="B98">
        <v>45571</v>
      </c>
      <c r="C98">
        <v>0</v>
      </c>
      <c r="D98">
        <v>0</v>
      </c>
      <c r="E98" t="s">
        <v>353</v>
      </c>
      <c r="F98">
        <v>2024</v>
      </c>
    </row>
    <row r="99" spans="1:6" x14ac:dyDescent="0.25">
      <c r="A99">
        <v>4</v>
      </c>
      <c r="B99">
        <v>45572</v>
      </c>
      <c r="C99">
        <v>-6.3234017993490897E-3</v>
      </c>
      <c r="D99">
        <v>-8.5710630676730792E-3</v>
      </c>
      <c r="E99" t="s">
        <v>353</v>
      </c>
      <c r="F99">
        <v>2024</v>
      </c>
    </row>
    <row r="100" spans="1:6" x14ac:dyDescent="0.25">
      <c r="A100">
        <v>4</v>
      </c>
      <c r="B100">
        <v>45573</v>
      </c>
      <c r="C100">
        <v>6.36364166248815E-3</v>
      </c>
      <c r="D100">
        <v>6.9032258064516397E-3</v>
      </c>
      <c r="E100" t="s">
        <v>353</v>
      </c>
      <c r="F100">
        <v>2024</v>
      </c>
    </row>
    <row r="101" spans="1:6" x14ac:dyDescent="0.25">
      <c r="A101">
        <v>4</v>
      </c>
      <c r="B101">
        <v>45574</v>
      </c>
      <c r="C101">
        <v>1.70642857137282E-3</v>
      </c>
      <c r="D101">
        <v>5.31812648170704E-3</v>
      </c>
      <c r="E101" t="s">
        <v>353</v>
      </c>
      <c r="F101">
        <v>2024</v>
      </c>
    </row>
    <row r="102" spans="1:6" x14ac:dyDescent="0.25">
      <c r="A102">
        <v>4</v>
      </c>
      <c r="B102">
        <v>45575</v>
      </c>
      <c r="C102">
        <v>-1.9286763397347001E-3</v>
      </c>
      <c r="D102">
        <v>-1.65710643722128E-3</v>
      </c>
      <c r="E102" t="s">
        <v>353</v>
      </c>
      <c r="F102">
        <v>2024</v>
      </c>
    </row>
    <row r="103" spans="1:6" x14ac:dyDescent="0.25">
      <c r="A103">
        <v>4</v>
      </c>
      <c r="B103">
        <v>45576</v>
      </c>
      <c r="C103">
        <v>4.2633308687240997E-3</v>
      </c>
      <c r="D103">
        <v>5.7456588355464496E-3</v>
      </c>
      <c r="E103" t="s">
        <v>353</v>
      </c>
      <c r="F103">
        <v>2024</v>
      </c>
    </row>
    <row r="104" spans="1:6" x14ac:dyDescent="0.25">
      <c r="A104">
        <v>4</v>
      </c>
      <c r="B104">
        <v>45577</v>
      </c>
      <c r="C104">
        <v>0</v>
      </c>
      <c r="D104">
        <v>6.3475942617747796E-3</v>
      </c>
      <c r="E104" t="s">
        <v>353</v>
      </c>
      <c r="F104">
        <v>2024</v>
      </c>
    </row>
    <row r="105" spans="1:6" x14ac:dyDescent="0.25">
      <c r="A105">
        <v>4</v>
      </c>
      <c r="B105">
        <v>45578</v>
      </c>
      <c r="C105">
        <v>0</v>
      </c>
      <c r="D105">
        <v>6.3075564526302603E-3</v>
      </c>
      <c r="E105" t="s">
        <v>353</v>
      </c>
      <c r="F105">
        <v>2024</v>
      </c>
    </row>
    <row r="106" spans="1:6" x14ac:dyDescent="0.25">
      <c r="A106">
        <v>4</v>
      </c>
      <c r="B106">
        <v>45579</v>
      </c>
      <c r="C106">
        <v>3.8286616983595999E-3</v>
      </c>
      <c r="D106">
        <v>-6.2680205591074704E-3</v>
      </c>
      <c r="E106" t="s">
        <v>353</v>
      </c>
      <c r="F106">
        <v>2024</v>
      </c>
    </row>
    <row r="107" spans="1:6" x14ac:dyDescent="0.25">
      <c r="A107">
        <v>4</v>
      </c>
      <c r="B107">
        <v>45580</v>
      </c>
      <c r="C107">
        <v>-3.4137234802598098E-3</v>
      </c>
      <c r="D107">
        <v>-9.9028636306294198E-3</v>
      </c>
      <c r="E107" t="s">
        <v>353</v>
      </c>
      <c r="F107">
        <v>2024</v>
      </c>
    </row>
    <row r="108" spans="1:6" x14ac:dyDescent="0.25">
      <c r="A108">
        <v>4</v>
      </c>
      <c r="B108">
        <v>45581</v>
      </c>
      <c r="C108">
        <v>3.3019874449795599E-3</v>
      </c>
      <c r="D108">
        <v>4.0772122061540897E-3</v>
      </c>
      <c r="E108" t="s">
        <v>353</v>
      </c>
      <c r="F108">
        <v>2024</v>
      </c>
    </row>
    <row r="109" spans="1:6" x14ac:dyDescent="0.25">
      <c r="A109">
        <v>4</v>
      </c>
      <c r="B109">
        <v>45582</v>
      </c>
      <c r="C109">
        <v>-1.0988833466294399E-3</v>
      </c>
      <c r="D109">
        <v>-1.14205951399027E-3</v>
      </c>
      <c r="E109" t="s">
        <v>353</v>
      </c>
      <c r="F109">
        <v>2024</v>
      </c>
    </row>
    <row r="110" spans="1:6" x14ac:dyDescent="0.25">
      <c r="A110">
        <v>4</v>
      </c>
      <c r="B110">
        <v>45583</v>
      </c>
      <c r="C110">
        <v>3.4928829892748601E-3</v>
      </c>
      <c r="D110">
        <v>6.1614685892141799E-3</v>
      </c>
      <c r="E110" t="s">
        <v>353</v>
      </c>
      <c r="F110">
        <v>2024</v>
      </c>
    </row>
    <row r="111" spans="1:6" x14ac:dyDescent="0.25">
      <c r="A111">
        <v>4</v>
      </c>
      <c r="B111">
        <v>45584</v>
      </c>
      <c r="C111">
        <v>0</v>
      </c>
      <c r="D111">
        <v>0</v>
      </c>
      <c r="E111" t="s">
        <v>353</v>
      </c>
      <c r="F111">
        <v>2024</v>
      </c>
    </row>
    <row r="112" spans="1:6" x14ac:dyDescent="0.25">
      <c r="A112">
        <v>4</v>
      </c>
      <c r="B112">
        <v>45585</v>
      </c>
      <c r="C112">
        <v>0</v>
      </c>
      <c r="D112">
        <v>0</v>
      </c>
      <c r="E112" t="s">
        <v>353</v>
      </c>
      <c r="F112">
        <v>2024</v>
      </c>
    </row>
    <row r="113" spans="1:6" x14ac:dyDescent="0.25">
      <c r="A113">
        <v>4</v>
      </c>
      <c r="B113">
        <v>45586</v>
      </c>
      <c r="C113">
        <v>0</v>
      </c>
      <c r="D113">
        <v>-4.3560606060606402E-3</v>
      </c>
      <c r="E113" t="s">
        <v>353</v>
      </c>
      <c r="F113">
        <v>2024</v>
      </c>
    </row>
    <row r="114" spans="1:6" x14ac:dyDescent="0.25">
      <c r="A114">
        <v>4</v>
      </c>
      <c r="B114">
        <v>45587</v>
      </c>
      <c r="C114">
        <v>-1.03981044801464E-2</v>
      </c>
      <c r="D114">
        <v>-1.5851880032972099E-3</v>
      </c>
      <c r="E114" t="s">
        <v>353</v>
      </c>
      <c r="F114">
        <v>2024</v>
      </c>
    </row>
    <row r="115" spans="1:6" x14ac:dyDescent="0.25">
      <c r="A115">
        <v>4</v>
      </c>
      <c r="B115">
        <v>45588</v>
      </c>
      <c r="C115">
        <v>-4.8454968031789204E-3</v>
      </c>
      <c r="D115">
        <v>-1.51149498285279E-2</v>
      </c>
      <c r="E115" t="s">
        <v>353</v>
      </c>
      <c r="F115">
        <v>2024</v>
      </c>
    </row>
    <row r="116" spans="1:6" x14ac:dyDescent="0.25">
      <c r="A116">
        <v>4</v>
      </c>
      <c r="B116">
        <v>45589</v>
      </c>
      <c r="C116">
        <v>2.65258859483186E-3</v>
      </c>
      <c r="D116">
        <v>8.5117358782562692E-3</v>
      </c>
      <c r="E116" t="s">
        <v>353</v>
      </c>
      <c r="F116">
        <v>2024</v>
      </c>
    </row>
    <row r="117" spans="1:6" x14ac:dyDescent="0.25">
      <c r="A117">
        <v>4</v>
      </c>
      <c r="B117">
        <v>45590</v>
      </c>
      <c r="C117">
        <v>-1.67112151550586E-3</v>
      </c>
      <c r="D117">
        <v>-1.59846547314579E-3</v>
      </c>
      <c r="E117" t="s">
        <v>353</v>
      </c>
      <c r="F117">
        <v>2024</v>
      </c>
    </row>
    <row r="118" spans="1:6" x14ac:dyDescent="0.25">
      <c r="A118">
        <v>4</v>
      </c>
      <c r="B118">
        <v>45591</v>
      </c>
      <c r="C118">
        <v>0</v>
      </c>
      <c r="D118">
        <v>0</v>
      </c>
      <c r="E118" t="s">
        <v>353</v>
      </c>
      <c r="F118">
        <v>2024</v>
      </c>
    </row>
    <row r="119" spans="1:6" x14ac:dyDescent="0.25">
      <c r="A119">
        <v>4</v>
      </c>
      <c r="B119">
        <v>45592</v>
      </c>
      <c r="C119">
        <v>0</v>
      </c>
      <c r="D119">
        <v>0</v>
      </c>
      <c r="E119" t="s">
        <v>353</v>
      </c>
      <c r="F119">
        <v>2024</v>
      </c>
    </row>
    <row r="120" spans="1:6" x14ac:dyDescent="0.25">
      <c r="A120">
        <v>4</v>
      </c>
      <c r="B120">
        <v>45593</v>
      </c>
      <c r="C120">
        <v>1.7426305614722799E-3</v>
      </c>
      <c r="D120">
        <v>4.4188280499519702E-3</v>
      </c>
      <c r="E120" t="s">
        <v>353</v>
      </c>
      <c r="F120">
        <v>2024</v>
      </c>
    </row>
    <row r="121" spans="1:6" x14ac:dyDescent="0.25">
      <c r="A121">
        <v>4</v>
      </c>
      <c r="B121">
        <v>45594</v>
      </c>
      <c r="C121">
        <v>3.3965925137089399E-3</v>
      </c>
      <c r="D121">
        <v>0</v>
      </c>
      <c r="E121" t="s">
        <v>353</v>
      </c>
      <c r="F121">
        <v>2024</v>
      </c>
    </row>
    <row r="122" spans="1:6" x14ac:dyDescent="0.25">
      <c r="A122">
        <v>4</v>
      </c>
      <c r="B122">
        <v>45595</v>
      </c>
      <c r="C122">
        <v>-1.1921164886970999E-3</v>
      </c>
      <c r="D122">
        <v>-3.6342769701606099E-3</v>
      </c>
      <c r="E122" t="s">
        <v>353</v>
      </c>
      <c r="F122">
        <v>2024</v>
      </c>
    </row>
    <row r="123" spans="1:6" x14ac:dyDescent="0.25">
      <c r="A123">
        <v>4</v>
      </c>
      <c r="B123">
        <v>45596</v>
      </c>
      <c r="C123">
        <v>-1.0037567873594101E-2</v>
      </c>
      <c r="D123">
        <v>-1.6253919498304299E-2</v>
      </c>
      <c r="E123" t="s">
        <v>353</v>
      </c>
      <c r="F123">
        <v>2024</v>
      </c>
    </row>
    <row r="124" spans="1:6" x14ac:dyDescent="0.25">
      <c r="A124">
        <v>4</v>
      </c>
      <c r="B124">
        <v>45597</v>
      </c>
      <c r="C124">
        <v>3.6355237317287101E-3</v>
      </c>
      <c r="D124">
        <v>4.0330449489365296E-3</v>
      </c>
      <c r="E124" t="s">
        <v>355</v>
      </c>
      <c r="F124">
        <v>2024</v>
      </c>
    </row>
    <row r="125" spans="1:6" x14ac:dyDescent="0.25">
      <c r="A125">
        <v>4</v>
      </c>
      <c r="B125">
        <v>45598</v>
      </c>
      <c r="C125">
        <v>0</v>
      </c>
      <c r="D125">
        <v>0</v>
      </c>
      <c r="E125" t="s">
        <v>355</v>
      </c>
      <c r="F125">
        <v>2024</v>
      </c>
    </row>
    <row r="126" spans="1:6" x14ac:dyDescent="0.25">
      <c r="A126">
        <v>4</v>
      </c>
      <c r="B126">
        <v>45599</v>
      </c>
      <c r="C126">
        <v>0</v>
      </c>
      <c r="D126">
        <v>0</v>
      </c>
      <c r="E126" t="s">
        <v>355</v>
      </c>
      <c r="F126">
        <v>2024</v>
      </c>
    </row>
    <row r="127" spans="1:6" x14ac:dyDescent="0.25">
      <c r="A127">
        <v>4</v>
      </c>
      <c r="B127">
        <v>45600</v>
      </c>
      <c r="C127">
        <v>-4.60683960291641E-4</v>
      </c>
      <c r="D127">
        <v>-1.3605442176871699E-3</v>
      </c>
      <c r="E127" t="s">
        <v>355</v>
      </c>
      <c r="F127">
        <v>2024</v>
      </c>
    </row>
    <row r="128" spans="1:6" x14ac:dyDescent="0.25">
      <c r="A128">
        <v>4</v>
      </c>
      <c r="B128">
        <v>45601</v>
      </c>
      <c r="C128">
        <v>9.8362381819052692E-3</v>
      </c>
      <c r="D128">
        <v>1.16776956014013E-2</v>
      </c>
      <c r="E128" t="s">
        <v>355</v>
      </c>
      <c r="F128">
        <v>2024</v>
      </c>
    </row>
    <row r="129" spans="1:6" x14ac:dyDescent="0.25">
      <c r="A129">
        <v>4</v>
      </c>
      <c r="B129">
        <v>45602</v>
      </c>
      <c r="C129">
        <v>1.8003093705991801E-2</v>
      </c>
      <c r="D129">
        <v>1.5518789277927599E-2</v>
      </c>
      <c r="E129" t="s">
        <v>355</v>
      </c>
      <c r="F129">
        <v>2024</v>
      </c>
    </row>
    <row r="130" spans="1:6" x14ac:dyDescent="0.25">
      <c r="A130">
        <v>4</v>
      </c>
      <c r="B130">
        <v>45603</v>
      </c>
      <c r="C130">
        <v>4.97386802907962E-3</v>
      </c>
      <c r="D130">
        <v>9.7878252083858398E-3</v>
      </c>
      <c r="E130" t="s">
        <v>355</v>
      </c>
      <c r="F130">
        <v>2024</v>
      </c>
    </row>
    <row r="131" spans="1:6" x14ac:dyDescent="0.25">
      <c r="A131">
        <v>4</v>
      </c>
      <c r="B131">
        <v>45604</v>
      </c>
      <c r="C131">
        <v>1.87386678605828E-3</v>
      </c>
      <c r="D131">
        <v>-1.87605528109591E-4</v>
      </c>
      <c r="E131" t="s">
        <v>355</v>
      </c>
      <c r="F131">
        <v>2024</v>
      </c>
    </row>
    <row r="132" spans="1:6" x14ac:dyDescent="0.25">
      <c r="A132">
        <v>4</v>
      </c>
      <c r="B132">
        <v>45605</v>
      </c>
      <c r="C132">
        <v>0</v>
      </c>
      <c r="D132">
        <v>0</v>
      </c>
      <c r="E132" t="s">
        <v>355</v>
      </c>
      <c r="F132">
        <v>2024</v>
      </c>
    </row>
    <row r="133" spans="1:6" x14ac:dyDescent="0.25">
      <c r="A133">
        <v>4</v>
      </c>
      <c r="B133">
        <v>45606</v>
      </c>
      <c r="C133">
        <v>0</v>
      </c>
      <c r="D133">
        <v>0</v>
      </c>
      <c r="E133" t="s">
        <v>355</v>
      </c>
      <c r="F133">
        <v>2024</v>
      </c>
    </row>
    <row r="134" spans="1:6" x14ac:dyDescent="0.25">
      <c r="A134">
        <v>4</v>
      </c>
      <c r="B134">
        <v>45607</v>
      </c>
      <c r="C134">
        <v>2.97497625793741E-3</v>
      </c>
      <c r="D134">
        <v>2.3142356767575901E-3</v>
      </c>
      <c r="E134" t="s">
        <v>355</v>
      </c>
      <c r="F134">
        <v>2024</v>
      </c>
    </row>
    <row r="135" spans="1:6" x14ac:dyDescent="0.25">
      <c r="A135">
        <v>4</v>
      </c>
      <c r="B135">
        <v>45608</v>
      </c>
      <c r="C135">
        <v>-8.8165801856665595E-3</v>
      </c>
      <c r="D135">
        <v>-6.6770670826832301E-3</v>
      </c>
      <c r="E135" t="s">
        <v>355</v>
      </c>
      <c r="F135">
        <v>2024</v>
      </c>
    </row>
    <row r="136" spans="1:6" x14ac:dyDescent="0.25">
      <c r="A136">
        <v>4</v>
      </c>
      <c r="B136">
        <v>45609</v>
      </c>
      <c r="C136">
        <v>9.0469273559135E-4</v>
      </c>
      <c r="D136">
        <v>-1.3192612137203901E-3</v>
      </c>
      <c r="E136" t="s">
        <v>355</v>
      </c>
      <c r="F136">
        <v>2024</v>
      </c>
    </row>
    <row r="137" spans="1:6" x14ac:dyDescent="0.25">
      <c r="A137">
        <v>4</v>
      </c>
      <c r="B137">
        <v>45610</v>
      </c>
      <c r="C137">
        <v>-5.0106024631639797E-3</v>
      </c>
      <c r="D137">
        <v>-4.15172674089448E-3</v>
      </c>
      <c r="E137" t="s">
        <v>355</v>
      </c>
      <c r="F137">
        <v>2024</v>
      </c>
    </row>
    <row r="138" spans="1:6" x14ac:dyDescent="0.25">
      <c r="A138">
        <v>4</v>
      </c>
      <c r="B138">
        <v>45611</v>
      </c>
      <c r="C138">
        <v>-9.6913626081550595E-3</v>
      </c>
      <c r="D138">
        <v>-1.0422588592003099E-2</v>
      </c>
      <c r="E138" t="s">
        <v>355</v>
      </c>
      <c r="F138">
        <v>2024</v>
      </c>
    </row>
    <row r="139" spans="1:6" x14ac:dyDescent="0.25">
      <c r="A139">
        <v>4</v>
      </c>
      <c r="B139">
        <v>45612</v>
      </c>
      <c r="C139">
        <v>0</v>
      </c>
      <c r="D139">
        <v>0</v>
      </c>
      <c r="E139" t="s">
        <v>355</v>
      </c>
      <c r="F139">
        <v>2024</v>
      </c>
    </row>
    <row r="140" spans="1:6" x14ac:dyDescent="0.25">
      <c r="A140">
        <v>4</v>
      </c>
      <c r="B140">
        <v>45613</v>
      </c>
      <c r="C140">
        <v>0</v>
      </c>
      <c r="D140">
        <v>0</v>
      </c>
      <c r="E140" t="s">
        <v>355</v>
      </c>
      <c r="F140">
        <v>2024</v>
      </c>
    </row>
    <row r="141" spans="1:6" x14ac:dyDescent="0.25">
      <c r="A141">
        <v>4</v>
      </c>
      <c r="B141">
        <v>45614</v>
      </c>
      <c r="C141">
        <v>2.9921590486887699E-3</v>
      </c>
      <c r="D141">
        <v>5.0427677773521298E-3</v>
      </c>
      <c r="E141" t="s">
        <v>355</v>
      </c>
      <c r="F141">
        <v>2024</v>
      </c>
    </row>
    <row r="142" spans="1:6" x14ac:dyDescent="0.25">
      <c r="A142">
        <v>4</v>
      </c>
      <c r="B142">
        <v>45615</v>
      </c>
      <c r="C142">
        <v>4.5353068592326497E-3</v>
      </c>
      <c r="D142">
        <v>2.54048904414095E-3</v>
      </c>
      <c r="E142" t="s">
        <v>355</v>
      </c>
      <c r="F142">
        <v>2024</v>
      </c>
    </row>
    <row r="143" spans="1:6" x14ac:dyDescent="0.25">
      <c r="A143">
        <v>4</v>
      </c>
      <c r="B143">
        <v>45616</v>
      </c>
      <c r="C143">
        <v>1.33039997118223E-4</v>
      </c>
      <c r="D143">
        <v>-5.7016154577127498E-4</v>
      </c>
      <c r="E143" t="s">
        <v>355</v>
      </c>
      <c r="F143">
        <v>2024</v>
      </c>
    </row>
    <row r="144" spans="1:6" x14ac:dyDescent="0.25">
      <c r="A144">
        <v>4</v>
      </c>
      <c r="B144">
        <v>45617</v>
      </c>
      <c r="C144">
        <v>5.9148138789395501E-3</v>
      </c>
      <c r="D144">
        <v>5.1343813387423297E-3</v>
      </c>
      <c r="E144" t="s">
        <v>355</v>
      </c>
      <c r="F144">
        <v>2024</v>
      </c>
    </row>
    <row r="145" spans="1:6" x14ac:dyDescent="0.25">
      <c r="A145">
        <v>4</v>
      </c>
      <c r="B145">
        <v>45618</v>
      </c>
      <c r="C145">
        <v>6.2427685205577203E-3</v>
      </c>
      <c r="D145">
        <v>4.3513905530681001E-3</v>
      </c>
      <c r="E145" t="s">
        <v>355</v>
      </c>
      <c r="F145">
        <v>2024</v>
      </c>
    </row>
    <row r="146" spans="1:6" x14ac:dyDescent="0.25">
      <c r="A146">
        <v>4</v>
      </c>
      <c r="B146">
        <v>45619</v>
      </c>
      <c r="C146">
        <v>0</v>
      </c>
      <c r="D146">
        <v>0</v>
      </c>
      <c r="E146" t="s">
        <v>355</v>
      </c>
      <c r="F146">
        <v>2024</v>
      </c>
    </row>
    <row r="147" spans="1:6" x14ac:dyDescent="0.25">
      <c r="A147">
        <v>4</v>
      </c>
      <c r="B147">
        <v>45620</v>
      </c>
      <c r="C147">
        <v>0</v>
      </c>
      <c r="D147">
        <v>0</v>
      </c>
      <c r="E147" t="s">
        <v>355</v>
      </c>
      <c r="F147">
        <v>2024</v>
      </c>
    </row>
    <row r="148" spans="1:6" x14ac:dyDescent="0.25">
      <c r="A148">
        <v>4</v>
      </c>
      <c r="B148">
        <v>45621</v>
      </c>
      <c r="C148">
        <v>0</v>
      </c>
      <c r="D148">
        <v>3.1395202813009298E-3</v>
      </c>
      <c r="E148" t="s">
        <v>355</v>
      </c>
      <c r="F148">
        <v>2024</v>
      </c>
    </row>
    <row r="149" spans="1:6" x14ac:dyDescent="0.25">
      <c r="A149">
        <v>4</v>
      </c>
      <c r="B149">
        <v>45622</v>
      </c>
      <c r="C149">
        <v>2.6136552205728901E-3</v>
      </c>
      <c r="D149">
        <v>-3.12969454181267E-3</v>
      </c>
      <c r="E149" t="s">
        <v>355</v>
      </c>
      <c r="F149">
        <v>2024</v>
      </c>
    </row>
    <row r="150" spans="1:6" x14ac:dyDescent="0.25">
      <c r="A150">
        <v>4</v>
      </c>
      <c r="B150">
        <v>45623</v>
      </c>
      <c r="C150">
        <v>-1.62074928570333E-3</v>
      </c>
      <c r="D150">
        <v>3.7046339319353199E-3</v>
      </c>
      <c r="E150" t="s">
        <v>355</v>
      </c>
      <c r="F150">
        <v>2024</v>
      </c>
    </row>
    <row r="151" spans="1:6" x14ac:dyDescent="0.25">
      <c r="A151">
        <v>4</v>
      </c>
      <c r="B151">
        <v>45624</v>
      </c>
      <c r="C151">
        <v>0</v>
      </c>
      <c r="D151">
        <v>0</v>
      </c>
      <c r="E151" t="s">
        <v>355</v>
      </c>
      <c r="F151">
        <v>2024</v>
      </c>
    </row>
    <row r="152" spans="1:6" x14ac:dyDescent="0.25">
      <c r="A152">
        <v>4</v>
      </c>
      <c r="B152">
        <v>45625</v>
      </c>
      <c r="C152">
        <v>3.6578710331114398E-3</v>
      </c>
      <c r="D152">
        <v>8.0700656865810797E-3</v>
      </c>
      <c r="E152" t="s">
        <v>355</v>
      </c>
      <c r="F152">
        <v>2024</v>
      </c>
    </row>
    <row r="153" spans="1:6" x14ac:dyDescent="0.25">
      <c r="A153">
        <v>4</v>
      </c>
      <c r="B153">
        <v>45626</v>
      </c>
      <c r="C153">
        <v>0</v>
      </c>
      <c r="D153">
        <v>0</v>
      </c>
      <c r="E153" t="s">
        <v>355</v>
      </c>
      <c r="F153">
        <v>2024</v>
      </c>
    </row>
    <row r="154" spans="1:6" x14ac:dyDescent="0.25">
      <c r="A154">
        <v>4</v>
      </c>
      <c r="B154">
        <v>45627</v>
      </c>
      <c r="C154">
        <v>0</v>
      </c>
      <c r="D154">
        <v>0</v>
      </c>
      <c r="E154" t="s">
        <v>357</v>
      </c>
      <c r="F154">
        <v>2024</v>
      </c>
    </row>
    <row r="155" spans="1:6" x14ac:dyDescent="0.25">
      <c r="A155">
        <v>4</v>
      </c>
      <c r="B155">
        <v>45628</v>
      </c>
      <c r="C155">
        <v>8.3362312642232305E-4</v>
      </c>
      <c r="D155">
        <v>2.5443713541022399E-3</v>
      </c>
      <c r="E155" t="s">
        <v>357</v>
      </c>
      <c r="F155">
        <v>2024</v>
      </c>
    </row>
    <row r="156" spans="1:6" x14ac:dyDescent="0.25">
      <c r="A156">
        <v>4</v>
      </c>
      <c r="B156">
        <v>45629</v>
      </c>
      <c r="C156">
        <v>1.27514301954612E-3</v>
      </c>
      <c r="D156">
        <v>1.05230578768167E-3</v>
      </c>
      <c r="E156" t="s">
        <v>357</v>
      </c>
      <c r="F156">
        <v>2024</v>
      </c>
    </row>
    <row r="157" spans="1:6" x14ac:dyDescent="0.25">
      <c r="A157">
        <v>4</v>
      </c>
      <c r="B157">
        <v>45630</v>
      </c>
      <c r="C157">
        <v>1.9284882508250299E-3</v>
      </c>
      <c r="D157">
        <v>5.8125154588177796E-3</v>
      </c>
      <c r="E157" t="s">
        <v>357</v>
      </c>
      <c r="F157">
        <v>2024</v>
      </c>
    </row>
    <row r="158" spans="1:6" x14ac:dyDescent="0.25">
      <c r="A158">
        <v>4</v>
      </c>
      <c r="B158">
        <v>45631</v>
      </c>
      <c r="C158">
        <v>-1.0981291334625201E-3</v>
      </c>
      <c r="D158">
        <v>6.1477929423237003E-5</v>
      </c>
      <c r="E158" t="s">
        <v>357</v>
      </c>
      <c r="F158">
        <v>2024</v>
      </c>
    </row>
    <row r="159" spans="1:6" x14ac:dyDescent="0.25">
      <c r="A159">
        <v>4</v>
      </c>
      <c r="B159">
        <v>45632</v>
      </c>
      <c r="C159">
        <v>3.0510514142314499E-3</v>
      </c>
      <c r="D159">
        <v>1.7212762033564899E-3</v>
      </c>
      <c r="E159" t="s">
        <v>357</v>
      </c>
      <c r="F159">
        <v>2024</v>
      </c>
    </row>
    <row r="160" spans="1:6" x14ac:dyDescent="0.25">
      <c r="A160">
        <v>4</v>
      </c>
      <c r="B160">
        <v>45633</v>
      </c>
      <c r="C160">
        <v>0</v>
      </c>
      <c r="D160">
        <v>0</v>
      </c>
      <c r="E160" t="s">
        <v>357</v>
      </c>
      <c r="F160">
        <v>2024</v>
      </c>
    </row>
    <row r="161" spans="1:6" x14ac:dyDescent="0.25">
      <c r="A161">
        <v>4</v>
      </c>
      <c r="B161">
        <v>45634</v>
      </c>
      <c r="C161">
        <v>0</v>
      </c>
      <c r="D161">
        <v>0</v>
      </c>
      <c r="E161" t="s">
        <v>357</v>
      </c>
      <c r="F161">
        <v>2024</v>
      </c>
    </row>
    <row r="162" spans="1:6" x14ac:dyDescent="0.25">
      <c r="A162">
        <v>4</v>
      </c>
      <c r="B162">
        <v>45635</v>
      </c>
      <c r="C162">
        <v>-5.9155256308498503E-3</v>
      </c>
      <c r="D162">
        <v>-5.7072721693769398E-3</v>
      </c>
      <c r="E162" t="s">
        <v>357</v>
      </c>
      <c r="F162">
        <v>2024</v>
      </c>
    </row>
    <row r="163" spans="1:6" x14ac:dyDescent="0.25">
      <c r="A163">
        <v>4</v>
      </c>
      <c r="B163">
        <v>45636</v>
      </c>
      <c r="C163">
        <v>-6.3049206647517496E-3</v>
      </c>
      <c r="D163">
        <v>-4.25873348969263E-3</v>
      </c>
      <c r="E163" t="s">
        <v>357</v>
      </c>
      <c r="F163">
        <v>2024</v>
      </c>
    </row>
    <row r="164" spans="1:6" x14ac:dyDescent="0.25">
      <c r="A164">
        <v>4</v>
      </c>
      <c r="B164">
        <v>45637</v>
      </c>
      <c r="C164">
        <v>6.3483730592850396E-3</v>
      </c>
      <c r="D164">
        <v>7.8100787206347704E-3</v>
      </c>
      <c r="E164" t="s">
        <v>357</v>
      </c>
      <c r="F164">
        <v>2024</v>
      </c>
    </row>
    <row r="165" spans="1:6" x14ac:dyDescent="0.25">
      <c r="A165">
        <v>4</v>
      </c>
      <c r="B165">
        <v>45638</v>
      </c>
      <c r="C165">
        <v>-4.9497146313860502E-3</v>
      </c>
      <c r="D165">
        <v>-6.4579617442648302E-3</v>
      </c>
      <c r="E165" t="s">
        <v>357</v>
      </c>
      <c r="F165">
        <v>2024</v>
      </c>
    </row>
    <row r="166" spans="1:6" x14ac:dyDescent="0.25">
      <c r="A166">
        <v>4</v>
      </c>
      <c r="B166">
        <v>45639</v>
      </c>
      <c r="C166">
        <v>1.3027471903448401E-3</v>
      </c>
      <c r="D166">
        <v>-1.1761792744830999E-3</v>
      </c>
      <c r="E166" t="s">
        <v>357</v>
      </c>
      <c r="F166">
        <v>2024</v>
      </c>
    </row>
    <row r="167" spans="1:6" x14ac:dyDescent="0.25">
      <c r="A167">
        <v>4</v>
      </c>
      <c r="B167">
        <v>45640</v>
      </c>
      <c r="C167">
        <v>0</v>
      </c>
      <c r="D167">
        <v>0</v>
      </c>
      <c r="E167" t="s">
        <v>357</v>
      </c>
      <c r="F167">
        <v>2024</v>
      </c>
    </row>
    <row r="168" spans="1:6" x14ac:dyDescent="0.25">
      <c r="A168">
        <v>4</v>
      </c>
      <c r="B168">
        <v>45641</v>
      </c>
      <c r="C168">
        <v>0</v>
      </c>
      <c r="D168">
        <v>0</v>
      </c>
      <c r="E168" t="s">
        <v>357</v>
      </c>
      <c r="F168">
        <v>2024</v>
      </c>
    </row>
    <row r="169" spans="1:6" x14ac:dyDescent="0.25">
      <c r="A169">
        <v>4</v>
      </c>
      <c r="B169">
        <v>45642</v>
      </c>
      <c r="C169">
        <v>2.8466052977973401E-3</v>
      </c>
      <c r="D169">
        <v>2.1691973969630899E-3</v>
      </c>
      <c r="E169" t="s">
        <v>357</v>
      </c>
      <c r="F169">
        <v>2024</v>
      </c>
    </row>
    <row r="170" spans="1:6" x14ac:dyDescent="0.25">
      <c r="A170">
        <v>4</v>
      </c>
      <c r="B170">
        <v>45643</v>
      </c>
      <c r="C170">
        <v>-6.6225678043224699E-3</v>
      </c>
      <c r="D170">
        <v>-1.05132962275819E-2</v>
      </c>
      <c r="E170" t="s">
        <v>357</v>
      </c>
      <c r="F170">
        <v>2024</v>
      </c>
    </row>
    <row r="171" spans="1:6" x14ac:dyDescent="0.25">
      <c r="A171">
        <v>4</v>
      </c>
      <c r="B171">
        <v>45644</v>
      </c>
      <c r="C171">
        <v>-2.4872109645921101E-2</v>
      </c>
      <c r="D171">
        <v>-2.8875000000000001E-2</v>
      </c>
      <c r="E171" t="s">
        <v>357</v>
      </c>
      <c r="F171">
        <v>2024</v>
      </c>
    </row>
    <row r="172" spans="1:6" x14ac:dyDescent="0.25">
      <c r="A172">
        <v>4</v>
      </c>
      <c r="B172">
        <v>45645</v>
      </c>
      <c r="C172">
        <v>-1.5898218319970699E-3</v>
      </c>
      <c r="D172">
        <v>-1.41588364010814E-3</v>
      </c>
      <c r="E172" t="s">
        <v>357</v>
      </c>
      <c r="F172">
        <v>2024</v>
      </c>
    </row>
    <row r="173" spans="1:6" x14ac:dyDescent="0.25">
      <c r="A173">
        <v>4</v>
      </c>
      <c r="B173">
        <v>45646</v>
      </c>
      <c r="C173">
        <v>5.7239624161047296E-3</v>
      </c>
      <c r="D173">
        <v>7.7339520494974501E-3</v>
      </c>
      <c r="E173" t="s">
        <v>357</v>
      </c>
      <c r="F173">
        <v>2024</v>
      </c>
    </row>
    <row r="174" spans="1:6" x14ac:dyDescent="0.25">
      <c r="A174">
        <v>4</v>
      </c>
      <c r="B174">
        <v>45647</v>
      </c>
      <c r="C174">
        <v>0</v>
      </c>
      <c r="D174">
        <v>0</v>
      </c>
      <c r="E174" t="s">
        <v>357</v>
      </c>
      <c r="F174">
        <v>2024</v>
      </c>
    </row>
    <row r="175" spans="1:6" x14ac:dyDescent="0.25">
      <c r="A175">
        <v>4</v>
      </c>
      <c r="B175">
        <v>45648</v>
      </c>
      <c r="C175">
        <v>0</v>
      </c>
      <c r="D175">
        <v>0</v>
      </c>
      <c r="E175" t="s">
        <v>357</v>
      </c>
      <c r="F175">
        <v>2024</v>
      </c>
    </row>
    <row r="176" spans="1:6" x14ac:dyDescent="0.25">
      <c r="A176">
        <v>4</v>
      </c>
      <c r="B176">
        <v>45649</v>
      </c>
      <c r="C176">
        <v>3.1505759462866498E-3</v>
      </c>
      <c r="D176">
        <v>6.3954975697109199E-3</v>
      </c>
      <c r="E176" t="s">
        <v>357</v>
      </c>
      <c r="F176">
        <v>2024</v>
      </c>
    </row>
    <row r="177" spans="1:6" x14ac:dyDescent="0.25">
      <c r="A177">
        <v>4</v>
      </c>
      <c r="B177">
        <v>45650</v>
      </c>
      <c r="C177">
        <v>2.2872191815626099E-4</v>
      </c>
      <c r="D177">
        <v>2.5419420437211598E-4</v>
      </c>
      <c r="E177" t="s">
        <v>357</v>
      </c>
      <c r="F177">
        <v>2024</v>
      </c>
    </row>
    <row r="178" spans="1:6" x14ac:dyDescent="0.25">
      <c r="A178">
        <v>4</v>
      </c>
      <c r="B178">
        <v>45651</v>
      </c>
      <c r="C178">
        <v>7.0847469063604097E-3</v>
      </c>
      <c r="D178">
        <v>8.7039390088945508E-3</v>
      </c>
      <c r="E178" t="s">
        <v>357</v>
      </c>
      <c r="F178">
        <v>2024</v>
      </c>
    </row>
    <row r="179" spans="1:6" x14ac:dyDescent="0.25">
      <c r="A179">
        <v>4</v>
      </c>
      <c r="B179">
        <v>45652</v>
      </c>
      <c r="C179">
        <v>5.7944693955547201E-4</v>
      </c>
      <c r="D179">
        <v>1.82654153807382E-3</v>
      </c>
      <c r="E179" t="s">
        <v>357</v>
      </c>
      <c r="F179">
        <v>2024</v>
      </c>
    </row>
    <row r="180" spans="1:6" x14ac:dyDescent="0.25">
      <c r="A180">
        <v>4</v>
      </c>
      <c r="B180">
        <v>45653</v>
      </c>
      <c r="C180">
        <v>-7.5265346844881603E-3</v>
      </c>
      <c r="D180">
        <v>-9.1789261913743907E-3</v>
      </c>
      <c r="E180" t="s">
        <v>357</v>
      </c>
      <c r="F180">
        <v>2024</v>
      </c>
    </row>
    <row r="181" spans="1:6" x14ac:dyDescent="0.25">
      <c r="A181">
        <v>4</v>
      </c>
      <c r="B181">
        <v>45654</v>
      </c>
      <c r="C181">
        <v>0</v>
      </c>
      <c r="D181">
        <v>0</v>
      </c>
      <c r="E181" t="s">
        <v>357</v>
      </c>
      <c r="F181">
        <v>2024</v>
      </c>
    </row>
    <row r="182" spans="1:6" x14ac:dyDescent="0.25">
      <c r="A182">
        <v>4</v>
      </c>
      <c r="B182">
        <v>45655</v>
      </c>
      <c r="C182">
        <v>0</v>
      </c>
      <c r="D182">
        <v>0</v>
      </c>
      <c r="E182" t="s">
        <v>357</v>
      </c>
      <c r="F182">
        <v>2024</v>
      </c>
    </row>
    <row r="183" spans="1:6" x14ac:dyDescent="0.25">
      <c r="A183">
        <v>4</v>
      </c>
      <c r="B183">
        <v>45656</v>
      </c>
      <c r="C183">
        <v>-7.5088057142578303E-3</v>
      </c>
      <c r="D183">
        <v>-9.3908629441623592E-3</v>
      </c>
      <c r="E183" t="s">
        <v>357</v>
      </c>
      <c r="F183">
        <v>2024</v>
      </c>
    </row>
    <row r="184" spans="1:6" x14ac:dyDescent="0.25">
      <c r="A184">
        <v>4</v>
      </c>
      <c r="B184">
        <v>45657</v>
      </c>
      <c r="C184">
        <v>-3.06629134584324E-3</v>
      </c>
      <c r="D184">
        <v>-3.9713041250321003E-3</v>
      </c>
      <c r="E184" t="s">
        <v>357</v>
      </c>
      <c r="F184">
        <v>2024</v>
      </c>
    </row>
    <row r="185" spans="1:6" x14ac:dyDescent="0.25">
      <c r="A185">
        <v>1</v>
      </c>
      <c r="B185">
        <v>45658</v>
      </c>
      <c r="C185">
        <v>0</v>
      </c>
      <c r="D185">
        <v>0</v>
      </c>
      <c r="E185" t="s">
        <v>348</v>
      </c>
      <c r="F185">
        <v>2025</v>
      </c>
    </row>
    <row r="186" spans="1:6" x14ac:dyDescent="0.25">
      <c r="A186">
        <v>1</v>
      </c>
      <c r="B186">
        <v>45659</v>
      </c>
      <c r="C186">
        <v>9.7722560157276206E-4</v>
      </c>
      <c r="D186">
        <v>-1.9292604501608399E-3</v>
      </c>
      <c r="E186" t="s">
        <v>348</v>
      </c>
      <c r="F186">
        <v>2025</v>
      </c>
    </row>
    <row r="187" spans="1:6" x14ac:dyDescent="0.25">
      <c r="A187">
        <v>1</v>
      </c>
      <c r="B187">
        <v>45660</v>
      </c>
      <c r="C187">
        <v>9.3830815090458798E-3</v>
      </c>
      <c r="D187">
        <v>1.1469072164948401E-2</v>
      </c>
      <c r="E187" t="s">
        <v>348</v>
      </c>
      <c r="F187">
        <v>2025</v>
      </c>
    </row>
    <row r="188" spans="1:6" x14ac:dyDescent="0.25">
      <c r="A188">
        <v>1</v>
      </c>
      <c r="B188">
        <v>45661</v>
      </c>
      <c r="C188">
        <v>0</v>
      </c>
      <c r="D188">
        <v>0</v>
      </c>
      <c r="E188" t="s">
        <v>348</v>
      </c>
      <c r="F188">
        <v>2025</v>
      </c>
    </row>
    <row r="189" spans="1:6" x14ac:dyDescent="0.25">
      <c r="A189">
        <v>1</v>
      </c>
      <c r="B189">
        <v>45662</v>
      </c>
      <c r="C189">
        <v>0</v>
      </c>
      <c r="D189">
        <v>0</v>
      </c>
      <c r="E189" t="s">
        <v>348</v>
      </c>
      <c r="F189">
        <v>2025</v>
      </c>
    </row>
    <row r="190" spans="1:6" x14ac:dyDescent="0.25">
      <c r="A190">
        <v>1</v>
      </c>
      <c r="B190">
        <v>45663</v>
      </c>
      <c r="C190">
        <v>3.2407925470416799E-3</v>
      </c>
      <c r="D190">
        <v>4.9687858325901902E-3</v>
      </c>
      <c r="E190" t="s">
        <v>348</v>
      </c>
      <c r="F190">
        <v>2025</v>
      </c>
    </row>
    <row r="191" spans="1:6" x14ac:dyDescent="0.25">
      <c r="A191">
        <v>1</v>
      </c>
      <c r="B191">
        <v>45664</v>
      </c>
      <c r="C191">
        <v>-7.5328804684115002E-3</v>
      </c>
      <c r="D191">
        <v>-8.5573022312372994E-3</v>
      </c>
      <c r="E191" t="s">
        <v>348</v>
      </c>
      <c r="F191">
        <v>2025</v>
      </c>
    </row>
    <row r="192" spans="1:6" x14ac:dyDescent="0.25">
      <c r="A192">
        <v>1</v>
      </c>
      <c r="B192">
        <v>45665</v>
      </c>
      <c r="C192">
        <v>1.34059748913762E-3</v>
      </c>
      <c r="D192">
        <v>0</v>
      </c>
      <c r="E192" t="s">
        <v>348</v>
      </c>
      <c r="F192">
        <v>2025</v>
      </c>
    </row>
    <row r="193" spans="1:6" x14ac:dyDescent="0.25">
      <c r="A193">
        <v>1</v>
      </c>
      <c r="B193">
        <v>45666</v>
      </c>
      <c r="C193">
        <v>0</v>
      </c>
      <c r="D193">
        <v>0</v>
      </c>
      <c r="E193" t="s">
        <v>348</v>
      </c>
      <c r="F193">
        <v>2025</v>
      </c>
    </row>
    <row r="194" spans="1:6" x14ac:dyDescent="0.25">
      <c r="A194">
        <v>1</v>
      </c>
      <c r="B194">
        <v>45667</v>
      </c>
      <c r="C194">
        <v>-1.04219075953662E-2</v>
      </c>
      <c r="D194">
        <v>-2.1801675084713201E-2</v>
      </c>
      <c r="E194" t="s">
        <v>348</v>
      </c>
      <c r="F194">
        <v>2025</v>
      </c>
    </row>
    <row r="195" spans="1:6" x14ac:dyDescent="0.25">
      <c r="A195">
        <v>1</v>
      </c>
      <c r="B195">
        <v>45668</v>
      </c>
      <c r="C195">
        <v>0</v>
      </c>
      <c r="D195">
        <v>0</v>
      </c>
      <c r="E195" t="s">
        <v>348</v>
      </c>
      <c r="F195">
        <v>2025</v>
      </c>
    </row>
    <row r="196" spans="1:6" x14ac:dyDescent="0.25">
      <c r="A196">
        <v>1</v>
      </c>
      <c r="B196">
        <v>45669</v>
      </c>
      <c r="C196">
        <v>0</v>
      </c>
      <c r="D196">
        <v>0</v>
      </c>
      <c r="E196" t="s">
        <v>348</v>
      </c>
      <c r="F196">
        <v>2025</v>
      </c>
    </row>
    <row r="197" spans="1:6" x14ac:dyDescent="0.25">
      <c r="A197">
        <v>1</v>
      </c>
      <c r="B197">
        <v>45670</v>
      </c>
      <c r="C197">
        <v>1.9815103585152399E-4</v>
      </c>
      <c r="D197">
        <v>8.0392156862745309E-3</v>
      </c>
      <c r="E197" t="s">
        <v>348</v>
      </c>
      <c r="F197">
        <v>2025</v>
      </c>
    </row>
    <row r="198" spans="1:6" x14ac:dyDescent="0.25">
      <c r="A198">
        <v>1</v>
      </c>
      <c r="B198">
        <v>45671</v>
      </c>
      <c r="C198">
        <v>3.4310590231281198E-3</v>
      </c>
      <c r="D198">
        <v>1.29676457239203E-3</v>
      </c>
      <c r="E198" t="s">
        <v>348</v>
      </c>
      <c r="F198">
        <v>2025</v>
      </c>
    </row>
    <row r="199" spans="1:6" x14ac:dyDescent="0.25">
      <c r="A199">
        <v>1</v>
      </c>
      <c r="B199">
        <v>45672</v>
      </c>
      <c r="C199">
        <v>1.21128153688994E-2</v>
      </c>
      <c r="D199">
        <v>1.7354141034773101E-2</v>
      </c>
      <c r="E199" t="s">
        <v>348</v>
      </c>
      <c r="F199">
        <v>2025</v>
      </c>
    </row>
    <row r="200" spans="1:6" x14ac:dyDescent="0.25">
      <c r="A200">
        <v>1</v>
      </c>
      <c r="B200">
        <v>45673</v>
      </c>
      <c r="C200">
        <v>3.1007866446215401E-3</v>
      </c>
      <c r="D200">
        <v>1.9094901661231801E-4</v>
      </c>
      <c r="E200" t="s">
        <v>348</v>
      </c>
      <c r="F200">
        <v>2025</v>
      </c>
    </row>
    <row r="201" spans="1:6" x14ac:dyDescent="0.25">
      <c r="A201">
        <v>1</v>
      </c>
      <c r="B201">
        <v>45674</v>
      </c>
      <c r="C201">
        <v>7.5575730863268699E-3</v>
      </c>
      <c r="D201">
        <v>8.0183276059566707E-3</v>
      </c>
      <c r="E201" t="s">
        <v>348</v>
      </c>
      <c r="F201">
        <v>2025</v>
      </c>
    </row>
    <row r="202" spans="1:6" x14ac:dyDescent="0.25">
      <c r="A202">
        <v>1</v>
      </c>
      <c r="B202">
        <v>45675</v>
      </c>
      <c r="C202">
        <v>0</v>
      </c>
      <c r="D202">
        <v>0</v>
      </c>
      <c r="E202" t="s">
        <v>348</v>
      </c>
      <c r="F202">
        <v>2025</v>
      </c>
    </row>
    <row r="203" spans="1:6" x14ac:dyDescent="0.25">
      <c r="A203">
        <v>1</v>
      </c>
      <c r="B203">
        <v>45676</v>
      </c>
      <c r="C203">
        <v>0</v>
      </c>
      <c r="D203">
        <v>0</v>
      </c>
      <c r="E203" t="s">
        <v>348</v>
      </c>
      <c r="F203">
        <v>2025</v>
      </c>
    </row>
    <row r="204" spans="1:6" x14ac:dyDescent="0.25">
      <c r="A204">
        <v>1</v>
      </c>
      <c r="B204">
        <v>45677</v>
      </c>
      <c r="C204">
        <v>0</v>
      </c>
      <c r="D204">
        <v>0</v>
      </c>
      <c r="E204" t="s">
        <v>348</v>
      </c>
      <c r="F204">
        <v>2025</v>
      </c>
    </row>
    <row r="205" spans="1:6" x14ac:dyDescent="0.25">
      <c r="A205">
        <v>1</v>
      </c>
      <c r="B205">
        <v>45678</v>
      </c>
      <c r="C205">
        <v>8.7820693820845896E-3</v>
      </c>
      <c r="D205">
        <v>1.18055555555556E-2</v>
      </c>
      <c r="E205" t="s">
        <v>348</v>
      </c>
      <c r="F205">
        <v>2025</v>
      </c>
    </row>
    <row r="206" spans="1:6" x14ac:dyDescent="0.25">
      <c r="A206">
        <v>1</v>
      </c>
      <c r="B206">
        <v>45679</v>
      </c>
      <c r="C206">
        <v>3.4972581526522299E-3</v>
      </c>
      <c r="D206">
        <v>3.8684719535782E-3</v>
      </c>
      <c r="E206" t="s">
        <v>348</v>
      </c>
      <c r="F206">
        <v>2025</v>
      </c>
    </row>
    <row r="207" spans="1:6" x14ac:dyDescent="0.25">
      <c r="A207">
        <v>1</v>
      </c>
      <c r="B207">
        <v>45680</v>
      </c>
      <c r="C207">
        <v>3.8279959946871901E-3</v>
      </c>
      <c r="D207">
        <v>6.0911181552614196E-3</v>
      </c>
      <c r="E207" t="s">
        <v>348</v>
      </c>
      <c r="F207">
        <v>2025</v>
      </c>
    </row>
    <row r="208" spans="1:6" x14ac:dyDescent="0.25">
      <c r="A208">
        <v>1</v>
      </c>
      <c r="B208">
        <v>45681</v>
      </c>
      <c r="C208">
        <v>-1.4600814040254301E-3</v>
      </c>
      <c r="D208">
        <v>-8.0311360968676705E-4</v>
      </c>
      <c r="E208" t="s">
        <v>348</v>
      </c>
      <c r="F208">
        <v>2025</v>
      </c>
    </row>
    <row r="209" spans="1:6" x14ac:dyDescent="0.25">
      <c r="A209">
        <v>1</v>
      </c>
      <c r="B209">
        <v>45682</v>
      </c>
      <c r="C209">
        <v>0</v>
      </c>
      <c r="D209">
        <v>0</v>
      </c>
      <c r="E209" t="s">
        <v>348</v>
      </c>
      <c r="F209">
        <v>2025</v>
      </c>
    </row>
    <row r="210" spans="1:6" x14ac:dyDescent="0.25">
      <c r="A210">
        <v>1</v>
      </c>
      <c r="B210">
        <v>45683</v>
      </c>
      <c r="C210">
        <v>0</v>
      </c>
      <c r="D210">
        <v>0</v>
      </c>
      <c r="E210" t="s">
        <v>348</v>
      </c>
      <c r="F210">
        <v>2025</v>
      </c>
    </row>
    <row r="211" spans="1:6" x14ac:dyDescent="0.25">
      <c r="A211">
        <v>1</v>
      </c>
      <c r="B211">
        <v>45684</v>
      </c>
      <c r="C211">
        <v>-1.4502667450961499E-2</v>
      </c>
      <c r="D211">
        <v>-1.0881661926548899E-2</v>
      </c>
      <c r="E211" t="s">
        <v>348</v>
      </c>
      <c r="F211">
        <v>2025</v>
      </c>
    </row>
    <row r="212" spans="1:6" x14ac:dyDescent="0.25">
      <c r="A212">
        <v>1</v>
      </c>
      <c r="B212">
        <v>45685</v>
      </c>
      <c r="C212">
        <v>1.30131514474625E-2</v>
      </c>
      <c r="D212">
        <v>5.9382422802851699E-3</v>
      </c>
      <c r="E212" t="s">
        <v>348</v>
      </c>
      <c r="F212">
        <v>2025</v>
      </c>
    </row>
    <row r="213" spans="1:6" x14ac:dyDescent="0.25">
      <c r="A213">
        <v>1</v>
      </c>
      <c r="B213">
        <v>45686</v>
      </c>
      <c r="C213">
        <v>-6.3354853133669202E-3</v>
      </c>
      <c r="D213">
        <v>-3.2312185422234099E-3</v>
      </c>
      <c r="E213" t="s">
        <v>348</v>
      </c>
      <c r="F213">
        <v>2025</v>
      </c>
    </row>
    <row r="214" spans="1:6" x14ac:dyDescent="0.25">
      <c r="A214">
        <v>1</v>
      </c>
      <c r="B214">
        <v>45687</v>
      </c>
      <c r="C214">
        <v>7.6793449112999602E-3</v>
      </c>
      <c r="D214">
        <v>7.1067888535627502E-3</v>
      </c>
      <c r="E214" t="s">
        <v>348</v>
      </c>
      <c r="F214">
        <v>2025</v>
      </c>
    </row>
    <row r="215" spans="1:6" x14ac:dyDescent="0.25">
      <c r="A215">
        <v>1</v>
      </c>
      <c r="B215">
        <v>45688</v>
      </c>
      <c r="C215">
        <v>-8.5342344878874803E-3</v>
      </c>
      <c r="D215">
        <v>-5.5091303002167101E-3</v>
      </c>
      <c r="E215" t="s">
        <v>348</v>
      </c>
      <c r="F215">
        <v>2025</v>
      </c>
    </row>
    <row r="216" spans="1:6" x14ac:dyDescent="0.25">
      <c r="A216">
        <v>1</v>
      </c>
      <c r="B216">
        <v>45689</v>
      </c>
      <c r="C216">
        <v>0</v>
      </c>
      <c r="D216">
        <v>0</v>
      </c>
      <c r="E216" t="s">
        <v>350</v>
      </c>
      <c r="F216">
        <v>2025</v>
      </c>
    </row>
    <row r="217" spans="1:6" x14ac:dyDescent="0.25">
      <c r="A217">
        <v>1</v>
      </c>
      <c r="B217">
        <v>45690</v>
      </c>
      <c r="C217">
        <v>0</v>
      </c>
      <c r="D217">
        <v>0</v>
      </c>
      <c r="E217" t="s">
        <v>350</v>
      </c>
      <c r="F217">
        <v>2025</v>
      </c>
    </row>
    <row r="218" spans="1:6" x14ac:dyDescent="0.25">
      <c r="A218">
        <v>1</v>
      </c>
      <c r="B218">
        <v>45691</v>
      </c>
      <c r="C218">
        <v>-5.6764407096127102E-3</v>
      </c>
      <c r="D218">
        <v>-8.0293788123988498E-3</v>
      </c>
      <c r="E218" t="s">
        <v>350</v>
      </c>
      <c r="F218">
        <v>2025</v>
      </c>
    </row>
    <row r="219" spans="1:6" x14ac:dyDescent="0.25">
      <c r="A219">
        <v>1</v>
      </c>
      <c r="B219">
        <v>45692</v>
      </c>
      <c r="C219">
        <v>4.9176710888261298E-3</v>
      </c>
      <c r="D219">
        <v>7.9688774549788698E-3</v>
      </c>
      <c r="E219" t="s">
        <v>350</v>
      </c>
      <c r="F219">
        <v>2025</v>
      </c>
    </row>
    <row r="220" spans="1:6" x14ac:dyDescent="0.25">
      <c r="A220">
        <v>1</v>
      </c>
      <c r="B220">
        <v>45693</v>
      </c>
      <c r="C220">
        <v>9.7192279934301701E-3</v>
      </c>
      <c r="D220">
        <v>5.6648406374504301E-3</v>
      </c>
      <c r="E220" t="s">
        <v>350</v>
      </c>
      <c r="F220">
        <v>2025</v>
      </c>
    </row>
    <row r="221" spans="1:6" x14ac:dyDescent="0.25">
      <c r="A221">
        <v>1</v>
      </c>
      <c r="B221">
        <v>45694</v>
      </c>
      <c r="C221">
        <v>2.3775723180836602E-3</v>
      </c>
      <c r="D221">
        <v>3.15691736304546E-3</v>
      </c>
      <c r="E221" t="s">
        <v>350</v>
      </c>
      <c r="F221">
        <v>2025</v>
      </c>
    </row>
    <row r="222" spans="1:6" x14ac:dyDescent="0.25">
      <c r="A222">
        <v>1</v>
      </c>
      <c r="B222">
        <v>45695</v>
      </c>
      <c r="C222">
        <v>-2.13516192843788E-3</v>
      </c>
      <c r="D222">
        <v>-9.0090090090090297E-3</v>
      </c>
      <c r="E222" t="s">
        <v>350</v>
      </c>
      <c r="F222">
        <v>2025</v>
      </c>
    </row>
    <row r="223" spans="1:6" x14ac:dyDescent="0.25">
      <c r="A223">
        <v>1</v>
      </c>
      <c r="B223">
        <v>45696</v>
      </c>
      <c r="C223">
        <v>0</v>
      </c>
      <c r="D223">
        <v>0</v>
      </c>
      <c r="E223" t="s">
        <v>350</v>
      </c>
      <c r="F223">
        <v>2025</v>
      </c>
    </row>
    <row r="224" spans="1:6" x14ac:dyDescent="0.25">
      <c r="A224">
        <v>1</v>
      </c>
      <c r="B224">
        <v>45697</v>
      </c>
      <c r="C224">
        <v>0</v>
      </c>
      <c r="D224">
        <v>0</v>
      </c>
      <c r="E224" t="s">
        <v>350</v>
      </c>
      <c r="F224">
        <v>2025</v>
      </c>
    </row>
    <row r="225" spans="1:6" x14ac:dyDescent="0.25">
      <c r="A225">
        <v>1</v>
      </c>
      <c r="B225">
        <v>45698</v>
      </c>
      <c r="C225">
        <v>6.2095532317445502E-3</v>
      </c>
      <c r="D225">
        <v>6.7247820672477997E-3</v>
      </c>
      <c r="E225" t="s">
        <v>350</v>
      </c>
      <c r="F225">
        <v>2025</v>
      </c>
    </row>
    <row r="226" spans="1:6" x14ac:dyDescent="0.25">
      <c r="A226">
        <v>1</v>
      </c>
      <c r="B226">
        <v>45699</v>
      </c>
      <c r="C226">
        <v>-1.3795450954365901E-3</v>
      </c>
      <c r="D226">
        <v>1.7936665017317401E-3</v>
      </c>
      <c r="E226" t="s">
        <v>350</v>
      </c>
      <c r="F226">
        <v>2025</v>
      </c>
    </row>
    <row r="227" spans="1:6" x14ac:dyDescent="0.25">
      <c r="A227">
        <v>1</v>
      </c>
      <c r="B227">
        <v>45700</v>
      </c>
      <c r="C227">
        <v>-1.5775322316236001E-3</v>
      </c>
      <c r="D227">
        <v>-8.6435759708580805E-4</v>
      </c>
      <c r="E227" t="s">
        <v>350</v>
      </c>
      <c r="F227">
        <v>2025</v>
      </c>
    </row>
    <row r="228" spans="1:6" x14ac:dyDescent="0.25">
      <c r="A228">
        <v>1</v>
      </c>
      <c r="B228">
        <v>45701</v>
      </c>
      <c r="C228">
        <v>1.10865360286427E-2</v>
      </c>
      <c r="D228">
        <v>1.06284372489649E-2</v>
      </c>
      <c r="E228" t="s">
        <v>350</v>
      </c>
      <c r="F228">
        <v>2025</v>
      </c>
    </row>
    <row r="229" spans="1:6" x14ac:dyDescent="0.25">
      <c r="A229">
        <v>1</v>
      </c>
      <c r="B229">
        <v>45702</v>
      </c>
      <c r="C229">
        <v>4.3122837576816701E-3</v>
      </c>
      <c r="D229">
        <v>6.1143381228978596E-5</v>
      </c>
      <c r="E229" t="s">
        <v>350</v>
      </c>
      <c r="F229">
        <v>2025</v>
      </c>
    </row>
    <row r="230" spans="1:6" x14ac:dyDescent="0.25">
      <c r="A230">
        <v>1</v>
      </c>
      <c r="B230">
        <v>45703</v>
      </c>
      <c r="C230">
        <v>0</v>
      </c>
      <c r="D230">
        <v>0</v>
      </c>
      <c r="E230" t="s">
        <v>350</v>
      </c>
      <c r="F230">
        <v>2025</v>
      </c>
    </row>
    <row r="231" spans="1:6" x14ac:dyDescent="0.25">
      <c r="A231">
        <v>1</v>
      </c>
      <c r="B231">
        <v>45704</v>
      </c>
      <c r="C231">
        <v>0</v>
      </c>
      <c r="D231">
        <v>0</v>
      </c>
      <c r="E231" t="s">
        <v>350</v>
      </c>
      <c r="F231">
        <v>2025</v>
      </c>
    </row>
    <row r="232" spans="1:6" x14ac:dyDescent="0.25">
      <c r="A232">
        <v>1</v>
      </c>
      <c r="B232">
        <v>45705</v>
      </c>
      <c r="C232">
        <v>0</v>
      </c>
      <c r="D232">
        <v>0</v>
      </c>
      <c r="E232" t="s">
        <v>350</v>
      </c>
      <c r="F232">
        <v>2025</v>
      </c>
    </row>
    <row r="233" spans="1:6" x14ac:dyDescent="0.25">
      <c r="A233">
        <v>1</v>
      </c>
      <c r="B233">
        <v>45706</v>
      </c>
      <c r="C233">
        <v>6.8792572713882705E-4</v>
      </c>
      <c r="D233">
        <v>3.5460992907800901E-3</v>
      </c>
      <c r="E233" t="s">
        <v>350</v>
      </c>
      <c r="F233">
        <v>2025</v>
      </c>
    </row>
    <row r="234" spans="1:6" x14ac:dyDescent="0.25">
      <c r="A234">
        <v>1</v>
      </c>
      <c r="B234">
        <v>45707</v>
      </c>
      <c r="C234">
        <v>-6.2817795019811697E-3</v>
      </c>
      <c r="D234">
        <v>-6.7015961983662997E-4</v>
      </c>
      <c r="E234" t="s">
        <v>350</v>
      </c>
      <c r="F234">
        <v>2025</v>
      </c>
    </row>
    <row r="235" spans="1:6" x14ac:dyDescent="0.25">
      <c r="A235">
        <v>1</v>
      </c>
      <c r="B235">
        <v>45708</v>
      </c>
      <c r="C235">
        <v>-8.9022129488082209E-3</v>
      </c>
      <c r="D235">
        <v>-1.9508626470766701E-3</v>
      </c>
      <c r="E235" t="s">
        <v>350</v>
      </c>
      <c r="F235">
        <v>2025</v>
      </c>
    </row>
    <row r="236" spans="1:6" x14ac:dyDescent="0.25">
      <c r="A236">
        <v>1</v>
      </c>
      <c r="B236">
        <v>45709</v>
      </c>
      <c r="C236">
        <v>-1.9822733420654499E-2</v>
      </c>
      <c r="D236">
        <v>-1.48433205057724E-2</v>
      </c>
      <c r="E236" t="s">
        <v>350</v>
      </c>
      <c r="F236">
        <v>2025</v>
      </c>
    </row>
    <row r="237" spans="1:6" x14ac:dyDescent="0.25">
      <c r="A237">
        <v>1</v>
      </c>
      <c r="B237">
        <v>45710</v>
      </c>
      <c r="C237">
        <v>0</v>
      </c>
      <c r="D237">
        <v>0</v>
      </c>
      <c r="E237" t="s">
        <v>350</v>
      </c>
      <c r="F237">
        <v>2025</v>
      </c>
    </row>
    <row r="238" spans="1:6" x14ac:dyDescent="0.25">
      <c r="A238">
        <v>1</v>
      </c>
      <c r="B238">
        <v>45711</v>
      </c>
      <c r="C238">
        <v>0</v>
      </c>
      <c r="D238">
        <v>0</v>
      </c>
      <c r="E238" t="s">
        <v>350</v>
      </c>
      <c r="F238">
        <v>2025</v>
      </c>
    </row>
    <row r="239" spans="1:6" x14ac:dyDescent="0.25">
      <c r="A239">
        <v>1</v>
      </c>
      <c r="B239">
        <v>45712</v>
      </c>
      <c r="C239">
        <v>-6.2692630573485397E-3</v>
      </c>
      <c r="D239">
        <v>-4.0302579365080202E-3</v>
      </c>
      <c r="E239" t="s">
        <v>350</v>
      </c>
      <c r="F239">
        <v>2025</v>
      </c>
    </row>
    <row r="240" spans="1:6" x14ac:dyDescent="0.25">
      <c r="A240">
        <v>1</v>
      </c>
      <c r="B240">
        <v>45713</v>
      </c>
      <c r="C240">
        <v>-3.5792489957556799E-3</v>
      </c>
      <c r="D240">
        <v>-1.3696071717611601E-3</v>
      </c>
      <c r="E240" t="s">
        <v>350</v>
      </c>
      <c r="F240">
        <v>2025</v>
      </c>
    </row>
    <row r="241" spans="1:6" x14ac:dyDescent="0.25">
      <c r="A241">
        <v>1</v>
      </c>
      <c r="B241">
        <v>45714</v>
      </c>
      <c r="C241">
        <v>4.5003017386156001E-3</v>
      </c>
      <c r="D241">
        <v>6.2340253101433895E-4</v>
      </c>
      <c r="E241" t="s">
        <v>350</v>
      </c>
      <c r="F241">
        <v>2025</v>
      </c>
    </row>
    <row r="242" spans="1:6" x14ac:dyDescent="0.25">
      <c r="A242">
        <v>1</v>
      </c>
      <c r="B242">
        <v>45715</v>
      </c>
      <c r="C242">
        <v>-1.6755217830644199E-2</v>
      </c>
      <c r="D242">
        <v>-1.5263846489315201E-2</v>
      </c>
      <c r="E242" t="s">
        <v>350</v>
      </c>
      <c r="F242">
        <v>2025</v>
      </c>
    </row>
    <row r="243" spans="1:6" x14ac:dyDescent="0.25">
      <c r="A243">
        <v>1</v>
      </c>
      <c r="B243">
        <v>45716</v>
      </c>
      <c r="C243">
        <v>1.1245529558122001E-2</v>
      </c>
      <c r="D243">
        <v>1.2273820068328599E-2</v>
      </c>
      <c r="E243" t="s">
        <v>350</v>
      </c>
      <c r="F243">
        <v>2025</v>
      </c>
    </row>
    <row r="244" spans="1:6" x14ac:dyDescent="0.25">
      <c r="A244">
        <v>1</v>
      </c>
      <c r="B244">
        <v>45717</v>
      </c>
      <c r="C244">
        <v>0</v>
      </c>
      <c r="D244">
        <v>0</v>
      </c>
      <c r="E244" t="s">
        <v>352</v>
      </c>
      <c r="F244">
        <v>2025</v>
      </c>
    </row>
    <row r="245" spans="1:6" x14ac:dyDescent="0.25">
      <c r="A245">
        <v>1</v>
      </c>
      <c r="B245">
        <v>45718</v>
      </c>
      <c r="C245">
        <v>0</v>
      </c>
      <c r="D245">
        <v>0</v>
      </c>
      <c r="E245" t="s">
        <v>352</v>
      </c>
      <c r="F245">
        <v>2025</v>
      </c>
    </row>
    <row r="246" spans="1:6" x14ac:dyDescent="0.25">
      <c r="A246">
        <v>1</v>
      </c>
      <c r="B246">
        <v>45719</v>
      </c>
      <c r="C246">
        <v>-1.8184421060978301E-2</v>
      </c>
      <c r="D246">
        <v>-1.06875000000001E-2</v>
      </c>
      <c r="E246" t="s">
        <v>352</v>
      </c>
      <c r="F246">
        <v>2025</v>
      </c>
    </row>
    <row r="247" spans="1:6" x14ac:dyDescent="0.25">
      <c r="A247">
        <v>1</v>
      </c>
      <c r="B247">
        <v>45720</v>
      </c>
      <c r="C247">
        <v>-8.1113518830973098E-3</v>
      </c>
      <c r="D247">
        <v>-8.4022995767261098E-3</v>
      </c>
      <c r="E247" t="s">
        <v>352</v>
      </c>
      <c r="F247">
        <v>2025</v>
      </c>
    </row>
    <row r="248" spans="1:6" x14ac:dyDescent="0.25">
      <c r="A248">
        <v>1</v>
      </c>
      <c r="B248">
        <v>45721</v>
      </c>
      <c r="C248">
        <v>1.0015139067454999E-2</v>
      </c>
      <c r="D248">
        <v>1.4525993883792099E-2</v>
      </c>
      <c r="E248" t="s">
        <v>352</v>
      </c>
      <c r="F248">
        <v>2025</v>
      </c>
    </row>
    <row r="249" spans="1:6" x14ac:dyDescent="0.25">
      <c r="A249">
        <v>1</v>
      </c>
      <c r="B249">
        <v>45722</v>
      </c>
      <c r="C249">
        <v>-2.0132022283149999E-2</v>
      </c>
      <c r="D249">
        <v>-1.72695302687766E-2</v>
      </c>
      <c r="E249" t="s">
        <v>352</v>
      </c>
      <c r="F249">
        <v>2025</v>
      </c>
    </row>
    <row r="250" spans="1:6" x14ac:dyDescent="0.25">
      <c r="A250">
        <v>1</v>
      </c>
      <c r="B250">
        <v>45723</v>
      </c>
      <c r="C250">
        <v>5.9526376384513302E-3</v>
      </c>
      <c r="D250">
        <v>7.3487123777875602E-3</v>
      </c>
      <c r="E250" t="s">
        <v>352</v>
      </c>
      <c r="F250">
        <v>2025</v>
      </c>
    </row>
    <row r="251" spans="1:6" x14ac:dyDescent="0.25">
      <c r="A251">
        <v>1</v>
      </c>
      <c r="B251">
        <v>45724</v>
      </c>
      <c r="C251">
        <v>0</v>
      </c>
      <c r="D251">
        <v>0</v>
      </c>
      <c r="E251" t="s">
        <v>352</v>
      </c>
      <c r="F251">
        <v>2025</v>
      </c>
    </row>
    <row r="252" spans="1:6" x14ac:dyDescent="0.25">
      <c r="A252">
        <v>1</v>
      </c>
      <c r="B252">
        <v>45725</v>
      </c>
      <c r="C252">
        <v>0</v>
      </c>
      <c r="D252">
        <v>0</v>
      </c>
      <c r="E252" t="s">
        <v>352</v>
      </c>
      <c r="F252">
        <v>2025</v>
      </c>
    </row>
    <row r="253" spans="1:6" x14ac:dyDescent="0.25">
      <c r="A253">
        <v>1</v>
      </c>
      <c r="B253">
        <v>45726</v>
      </c>
      <c r="C253">
        <v>-2.09476054489935E-2</v>
      </c>
      <c r="D253">
        <v>-2.7277340776452601E-2</v>
      </c>
      <c r="E253" t="s">
        <v>352</v>
      </c>
      <c r="F253">
        <v>2025</v>
      </c>
    </row>
    <row r="254" spans="1:6" x14ac:dyDescent="0.25">
      <c r="A254">
        <v>1</v>
      </c>
      <c r="B254">
        <v>45727</v>
      </c>
      <c r="C254">
        <v>-1.77485910080855E-3</v>
      </c>
      <c r="D254">
        <v>-5.9345245858875E-3</v>
      </c>
      <c r="E254" t="s">
        <v>352</v>
      </c>
      <c r="F254">
        <v>2025</v>
      </c>
    </row>
    <row r="255" spans="1:6" x14ac:dyDescent="0.25">
      <c r="A255">
        <v>1</v>
      </c>
      <c r="B255">
        <v>45728</v>
      </c>
      <c r="C255">
        <v>6.7188496347054798E-3</v>
      </c>
      <c r="D255">
        <v>5.0514990487435796E-3</v>
      </c>
      <c r="E255" t="s">
        <v>352</v>
      </c>
      <c r="F255">
        <v>2025</v>
      </c>
    </row>
    <row r="256" spans="1:6" x14ac:dyDescent="0.25">
      <c r="A256">
        <v>1</v>
      </c>
      <c r="B256">
        <v>45729</v>
      </c>
      <c r="C256">
        <v>-1.2078566998589E-2</v>
      </c>
      <c r="D256">
        <v>-1.2793733681462E-2</v>
      </c>
      <c r="E256" t="s">
        <v>352</v>
      </c>
      <c r="F256">
        <v>2025</v>
      </c>
    </row>
    <row r="257" spans="1:6" x14ac:dyDescent="0.25">
      <c r="A257">
        <v>1</v>
      </c>
      <c r="B257">
        <v>45730</v>
      </c>
      <c r="C257">
        <v>1.7680192564953699E-2</v>
      </c>
      <c r="D257">
        <v>2.1290663845543501E-2</v>
      </c>
      <c r="E257" t="s">
        <v>352</v>
      </c>
      <c r="F257">
        <v>2025</v>
      </c>
    </row>
    <row r="258" spans="1:6" x14ac:dyDescent="0.25">
      <c r="A258">
        <v>1</v>
      </c>
      <c r="B258">
        <v>45731</v>
      </c>
      <c r="C258">
        <v>0</v>
      </c>
      <c r="D258">
        <v>0</v>
      </c>
      <c r="E258" t="s">
        <v>352</v>
      </c>
      <c r="F258">
        <v>2025</v>
      </c>
    </row>
    <row r="259" spans="1:6" x14ac:dyDescent="0.25">
      <c r="A259">
        <v>1</v>
      </c>
      <c r="B259">
        <v>45732</v>
      </c>
      <c r="C259">
        <v>0</v>
      </c>
      <c r="D259">
        <v>0</v>
      </c>
      <c r="E259" t="s">
        <v>352</v>
      </c>
      <c r="F259">
        <v>2025</v>
      </c>
    </row>
    <row r="260" spans="1:6" x14ac:dyDescent="0.25">
      <c r="A260">
        <v>1</v>
      </c>
      <c r="B260">
        <v>45733</v>
      </c>
      <c r="C260">
        <v>-1.3135601250981101E-2</v>
      </c>
      <c r="D260">
        <v>9.1285769778583995E-3</v>
      </c>
      <c r="E260" t="s">
        <v>352</v>
      </c>
      <c r="F260">
        <v>2025</v>
      </c>
    </row>
    <row r="261" spans="1:6" x14ac:dyDescent="0.25">
      <c r="A261">
        <v>1</v>
      </c>
      <c r="B261">
        <v>45734</v>
      </c>
      <c r="C261">
        <v>-9.5044740592037397E-3</v>
      </c>
      <c r="D261">
        <v>-8.5969076794765193E-3</v>
      </c>
      <c r="E261" t="s">
        <v>352</v>
      </c>
      <c r="F261">
        <v>2025</v>
      </c>
    </row>
    <row r="262" spans="1:6" x14ac:dyDescent="0.25">
      <c r="A262">
        <v>1</v>
      </c>
      <c r="B262">
        <v>45735</v>
      </c>
      <c r="C262">
        <v>8.7300026465100301E-3</v>
      </c>
      <c r="D262">
        <v>9.059729502362E-3</v>
      </c>
      <c r="E262" t="s">
        <v>352</v>
      </c>
      <c r="F262">
        <v>2025</v>
      </c>
    </row>
    <row r="263" spans="1:6" x14ac:dyDescent="0.25">
      <c r="A263">
        <v>1</v>
      </c>
      <c r="B263">
        <v>45736</v>
      </c>
      <c r="C263">
        <v>-1.87067614710978E-3</v>
      </c>
      <c r="D263">
        <v>-3.84788045918039E-3</v>
      </c>
      <c r="E263" t="s">
        <v>352</v>
      </c>
      <c r="F263">
        <v>2025</v>
      </c>
    </row>
    <row r="264" spans="1:6" x14ac:dyDescent="0.25">
      <c r="A264">
        <v>1</v>
      </c>
      <c r="B264">
        <v>45737</v>
      </c>
      <c r="C264">
        <v>-1.92487526059404E-3</v>
      </c>
      <c r="D264">
        <v>-6.4379063928421399E-4</v>
      </c>
      <c r="E264" t="s">
        <v>352</v>
      </c>
      <c r="F264">
        <v>2025</v>
      </c>
    </row>
    <row r="265" spans="1:6" x14ac:dyDescent="0.25">
      <c r="A265">
        <v>1</v>
      </c>
      <c r="B265">
        <v>45738</v>
      </c>
      <c r="C265">
        <v>0</v>
      </c>
      <c r="D265">
        <v>0</v>
      </c>
      <c r="E265" t="s">
        <v>352</v>
      </c>
      <c r="F265">
        <v>2025</v>
      </c>
    </row>
    <row r="266" spans="1:6" x14ac:dyDescent="0.25">
      <c r="A266">
        <v>1</v>
      </c>
      <c r="B266">
        <v>45739</v>
      </c>
      <c r="C266">
        <v>0</v>
      </c>
      <c r="D266">
        <v>0</v>
      </c>
      <c r="E266" t="s">
        <v>352</v>
      </c>
      <c r="F266">
        <v>2025</v>
      </c>
    </row>
    <row r="267" spans="1:6" x14ac:dyDescent="0.25">
      <c r="A267">
        <v>1</v>
      </c>
      <c r="B267">
        <v>45740</v>
      </c>
      <c r="C267">
        <v>1.2029250092834299E-2</v>
      </c>
      <c r="D267">
        <v>1.41080976615344E-2</v>
      </c>
      <c r="E267" t="s">
        <v>352</v>
      </c>
      <c r="F267">
        <v>2025</v>
      </c>
    </row>
    <row r="268" spans="1:6" x14ac:dyDescent="0.25">
      <c r="A268">
        <v>1</v>
      </c>
      <c r="B268">
        <v>45741</v>
      </c>
      <c r="C268">
        <v>-1.38755430438742E-3</v>
      </c>
      <c r="D268">
        <v>2.2868758734595502E-3</v>
      </c>
      <c r="E268" t="s">
        <v>352</v>
      </c>
      <c r="F268">
        <v>2025</v>
      </c>
    </row>
    <row r="269" spans="1:6" x14ac:dyDescent="0.25">
      <c r="A269">
        <v>1</v>
      </c>
      <c r="B269">
        <v>45742</v>
      </c>
      <c r="C269">
        <v>-1.0421142164745999E-2</v>
      </c>
      <c r="D269">
        <v>-1.14082900240843E-2</v>
      </c>
      <c r="E269" t="s">
        <v>352</v>
      </c>
      <c r="F269">
        <v>2025</v>
      </c>
    </row>
    <row r="270" spans="1:6" x14ac:dyDescent="0.25">
      <c r="A270">
        <v>1</v>
      </c>
      <c r="B270">
        <v>45743</v>
      </c>
      <c r="C270">
        <v>-3.1134268095318598E-3</v>
      </c>
      <c r="D270">
        <v>-2.5644313373508502E-3</v>
      </c>
      <c r="E270" t="s">
        <v>352</v>
      </c>
      <c r="F270">
        <v>2025</v>
      </c>
    </row>
    <row r="271" spans="1:6" x14ac:dyDescent="0.25">
      <c r="A271">
        <v>1</v>
      </c>
      <c r="B271">
        <v>45744</v>
      </c>
      <c r="C271">
        <v>-1.4835655935780101E-2</v>
      </c>
      <c r="D271">
        <v>-1.7354415734670298E-2</v>
      </c>
      <c r="E271" t="s">
        <v>352</v>
      </c>
      <c r="F271">
        <v>2025</v>
      </c>
    </row>
    <row r="272" spans="1:6" x14ac:dyDescent="0.25">
      <c r="A272">
        <v>1</v>
      </c>
      <c r="B272">
        <v>45745</v>
      </c>
      <c r="C272">
        <v>0</v>
      </c>
      <c r="D272">
        <v>0</v>
      </c>
      <c r="E272" t="s">
        <v>352</v>
      </c>
      <c r="F272">
        <v>2025</v>
      </c>
    </row>
    <row r="273" spans="1:6" x14ac:dyDescent="0.25">
      <c r="A273">
        <v>1</v>
      </c>
      <c r="B273">
        <v>45746</v>
      </c>
      <c r="C273">
        <v>0</v>
      </c>
      <c r="D273">
        <v>0</v>
      </c>
      <c r="E273" t="s">
        <v>352</v>
      </c>
      <c r="F273">
        <v>2025</v>
      </c>
    </row>
    <row r="274" spans="1:6" x14ac:dyDescent="0.25">
      <c r="A274">
        <v>1</v>
      </c>
      <c r="B274">
        <v>45747</v>
      </c>
      <c r="C274">
        <v>-1.2755529839433299E-3</v>
      </c>
      <c r="D274">
        <v>1.9623233908949698E-3</v>
      </c>
      <c r="E274" t="s">
        <v>352</v>
      </c>
      <c r="F274">
        <v>2025</v>
      </c>
    </row>
    <row r="275" spans="1:6" x14ac:dyDescent="0.25">
      <c r="A275">
        <v>2</v>
      </c>
      <c r="B275">
        <v>45748</v>
      </c>
      <c r="C275">
        <v>2.47378484196836E-2</v>
      </c>
      <c r="D275">
        <v>2.2196109152630198E-3</v>
      </c>
      <c r="E275" t="s">
        <v>354</v>
      </c>
      <c r="F275">
        <v>2025</v>
      </c>
    </row>
    <row r="276" spans="1:6" x14ac:dyDescent="0.25">
      <c r="A276">
        <v>2</v>
      </c>
      <c r="B276">
        <v>45749</v>
      </c>
      <c r="C276">
        <v>1.31395554693947E-3</v>
      </c>
      <c r="D276">
        <v>7.2303282959873504E-3</v>
      </c>
      <c r="E276" t="s">
        <v>354</v>
      </c>
      <c r="F276">
        <v>2025</v>
      </c>
    </row>
    <row r="277" spans="1:6" x14ac:dyDescent="0.25">
      <c r="A277">
        <v>2</v>
      </c>
      <c r="B277">
        <v>45750</v>
      </c>
      <c r="C277">
        <v>-2.6194692399391501E-2</v>
      </c>
      <c r="D277">
        <v>-4.10657699023474E-2</v>
      </c>
      <c r="E277" t="s">
        <v>354</v>
      </c>
      <c r="F277">
        <v>2025</v>
      </c>
    </row>
    <row r="278" spans="1:6" x14ac:dyDescent="0.25">
      <c r="A278">
        <v>2</v>
      </c>
      <c r="B278">
        <v>45751</v>
      </c>
      <c r="C278">
        <v>-3.8066965479123901E-2</v>
      </c>
      <c r="D278">
        <v>-6.0898300512543899E-2</v>
      </c>
      <c r="E278" t="s">
        <v>354</v>
      </c>
      <c r="F278">
        <v>2025</v>
      </c>
    </row>
    <row r="279" spans="1:6" x14ac:dyDescent="0.25">
      <c r="A279">
        <v>2</v>
      </c>
      <c r="B279">
        <v>45752</v>
      </c>
      <c r="C279">
        <v>0</v>
      </c>
      <c r="D279">
        <v>0</v>
      </c>
      <c r="E279" t="s">
        <v>354</v>
      </c>
      <c r="F279">
        <v>2025</v>
      </c>
    </row>
    <row r="280" spans="1:6" x14ac:dyDescent="0.25">
      <c r="A280">
        <v>2</v>
      </c>
      <c r="B280">
        <v>45753</v>
      </c>
      <c r="C280">
        <v>0</v>
      </c>
      <c r="D280">
        <v>0</v>
      </c>
      <c r="E280" t="s">
        <v>354</v>
      </c>
      <c r="F280">
        <v>2025</v>
      </c>
    </row>
    <row r="281" spans="1:6" x14ac:dyDescent="0.25">
      <c r="A281">
        <v>2</v>
      </c>
      <c r="B281">
        <v>45754</v>
      </c>
      <c r="C281">
        <v>-8.8627329191215392E-3</v>
      </c>
      <c r="D281">
        <v>-8.9048473967684397E-3</v>
      </c>
      <c r="E281" t="s">
        <v>354</v>
      </c>
      <c r="F281">
        <v>2025</v>
      </c>
    </row>
    <row r="282" spans="1:6" x14ac:dyDescent="0.25">
      <c r="A282">
        <v>2</v>
      </c>
      <c r="B282">
        <v>45755</v>
      </c>
      <c r="C282">
        <v>-7.24369542675241E-3</v>
      </c>
      <c r="D282">
        <v>-1.2390406492283099E-2</v>
      </c>
      <c r="E282" t="s">
        <v>354</v>
      </c>
      <c r="F282">
        <v>2025</v>
      </c>
    </row>
    <row r="283" spans="1:6" x14ac:dyDescent="0.25">
      <c r="A283">
        <v>2</v>
      </c>
      <c r="B283">
        <v>45756</v>
      </c>
      <c r="C283">
        <v>5.75439253775933E-2</v>
      </c>
      <c r="D283">
        <v>8.9361702127659398E-2</v>
      </c>
      <c r="E283" t="s">
        <v>354</v>
      </c>
      <c r="F283">
        <v>2025</v>
      </c>
    </row>
    <row r="284" spans="1:6" x14ac:dyDescent="0.25">
      <c r="A284">
        <v>2</v>
      </c>
      <c r="B284">
        <v>45757</v>
      </c>
      <c r="C284">
        <v>-1.5190834096383801E-2</v>
      </c>
      <c r="D284">
        <v>-2.9498922413793E-2</v>
      </c>
      <c r="E284" t="s">
        <v>354</v>
      </c>
      <c r="F284">
        <v>2025</v>
      </c>
    </row>
    <row r="285" spans="1:6" x14ac:dyDescent="0.25">
      <c r="A285">
        <v>2</v>
      </c>
      <c r="B285">
        <v>45758</v>
      </c>
      <c r="C285">
        <v>1.2179542933326499E-2</v>
      </c>
      <c r="D285">
        <v>1.9569743233865299E-2</v>
      </c>
      <c r="E285" t="s">
        <v>354</v>
      </c>
      <c r="F285">
        <v>2025</v>
      </c>
    </row>
    <row r="286" spans="1:6" x14ac:dyDescent="0.25">
      <c r="A286">
        <v>2</v>
      </c>
      <c r="B286">
        <v>45759</v>
      </c>
      <c r="C286">
        <v>0</v>
      </c>
      <c r="D286">
        <v>0</v>
      </c>
      <c r="E286" t="s">
        <v>354</v>
      </c>
      <c r="F286">
        <v>2025</v>
      </c>
    </row>
    <row r="287" spans="1:6" x14ac:dyDescent="0.25">
      <c r="A287">
        <v>2</v>
      </c>
      <c r="B287">
        <v>45760</v>
      </c>
      <c r="C287">
        <v>0</v>
      </c>
      <c r="D287">
        <v>0</v>
      </c>
      <c r="E287" t="s">
        <v>354</v>
      </c>
      <c r="F287">
        <v>2025</v>
      </c>
    </row>
    <row r="288" spans="1:6" x14ac:dyDescent="0.25">
      <c r="A288">
        <v>2</v>
      </c>
      <c r="B288">
        <v>45761</v>
      </c>
      <c r="C288">
        <v>4.8837581138858601E-3</v>
      </c>
      <c r="D288">
        <v>9.1886741083584394E-3</v>
      </c>
      <c r="E288" t="s">
        <v>354</v>
      </c>
      <c r="F288">
        <v>2025</v>
      </c>
    </row>
    <row r="289" spans="1:6" x14ac:dyDescent="0.25">
      <c r="A289">
        <v>2</v>
      </c>
      <c r="B289">
        <v>45762</v>
      </c>
      <c r="C289">
        <v>6.88009747314977E-4</v>
      </c>
      <c r="D289">
        <v>1.21400148377937E-3</v>
      </c>
      <c r="E289" t="s">
        <v>354</v>
      </c>
      <c r="F289">
        <v>2025</v>
      </c>
    </row>
    <row r="290" spans="1:6" x14ac:dyDescent="0.25">
      <c r="A290">
        <v>2</v>
      </c>
      <c r="B290">
        <v>45763</v>
      </c>
      <c r="C290">
        <v>-6.27956644131433E-3</v>
      </c>
      <c r="D290">
        <v>-1.6234422364432399E-2</v>
      </c>
      <c r="E290" t="s">
        <v>354</v>
      </c>
      <c r="F290">
        <v>2025</v>
      </c>
    </row>
    <row r="291" spans="1:6" x14ac:dyDescent="0.25">
      <c r="A291">
        <v>2</v>
      </c>
      <c r="B291">
        <v>45764</v>
      </c>
      <c r="C291">
        <v>2.5808764254002798E-3</v>
      </c>
      <c r="D291">
        <v>4.3138866064091896E-3</v>
      </c>
      <c r="E291" t="s">
        <v>354</v>
      </c>
      <c r="F291">
        <v>2025</v>
      </c>
    </row>
    <row r="292" spans="1:6" x14ac:dyDescent="0.25">
      <c r="A292">
        <v>2</v>
      </c>
      <c r="B292">
        <v>45765</v>
      </c>
      <c r="C292">
        <v>0</v>
      </c>
      <c r="D292">
        <v>0</v>
      </c>
      <c r="E292" t="s">
        <v>354</v>
      </c>
      <c r="F292">
        <v>2025</v>
      </c>
    </row>
    <row r="293" spans="1:6" x14ac:dyDescent="0.25">
      <c r="A293">
        <v>2</v>
      </c>
      <c r="B293">
        <v>45766</v>
      </c>
      <c r="C293">
        <v>0</v>
      </c>
      <c r="D293">
        <v>0</v>
      </c>
      <c r="E293" t="s">
        <v>354</v>
      </c>
      <c r="F293">
        <v>2025</v>
      </c>
    </row>
    <row r="294" spans="1:6" x14ac:dyDescent="0.25">
      <c r="A294">
        <v>2</v>
      </c>
      <c r="B294">
        <v>45767</v>
      </c>
      <c r="C294">
        <v>0</v>
      </c>
      <c r="D294">
        <v>0</v>
      </c>
      <c r="E294" t="s">
        <v>354</v>
      </c>
      <c r="F294">
        <v>2025</v>
      </c>
    </row>
    <row r="295" spans="1:6" x14ac:dyDescent="0.25">
      <c r="A295">
        <v>2</v>
      </c>
      <c r="B295">
        <v>45768</v>
      </c>
      <c r="C295">
        <v>-6.7370725136426399E-3</v>
      </c>
      <c r="D295">
        <v>-1.8340492261539401E-2</v>
      </c>
      <c r="E295" t="s">
        <v>354</v>
      </c>
      <c r="F295">
        <v>2025</v>
      </c>
    </row>
    <row r="296" spans="1:6" x14ac:dyDescent="0.25">
      <c r="A296">
        <v>2</v>
      </c>
      <c r="B296">
        <v>45769</v>
      </c>
      <c r="C296">
        <v>1.2192908883681399E-2</v>
      </c>
      <c r="D296">
        <v>2.3614390887623401E-2</v>
      </c>
      <c r="E296" t="s">
        <v>354</v>
      </c>
      <c r="F296">
        <v>2025</v>
      </c>
    </row>
    <row r="297" spans="1:6" x14ac:dyDescent="0.25">
      <c r="A297">
        <v>2</v>
      </c>
      <c r="B297">
        <v>45770</v>
      </c>
      <c r="C297">
        <v>5.1560719521852602E-3</v>
      </c>
      <c r="D297">
        <v>1.2484733342380301E-2</v>
      </c>
      <c r="E297" t="s">
        <v>354</v>
      </c>
      <c r="F297">
        <v>2025</v>
      </c>
    </row>
    <row r="298" spans="1:6" x14ac:dyDescent="0.25">
      <c r="A298">
        <v>2</v>
      </c>
      <c r="B298">
        <v>45771</v>
      </c>
      <c r="C298">
        <v>9.5131812232336407E-3</v>
      </c>
      <c r="D298">
        <v>1.93003618817853E-2</v>
      </c>
      <c r="E298" t="s">
        <v>354</v>
      </c>
      <c r="F298">
        <v>2025</v>
      </c>
    </row>
    <row r="299" spans="1:6" x14ac:dyDescent="0.25">
      <c r="A299">
        <v>2</v>
      </c>
      <c r="B299">
        <v>45772</v>
      </c>
      <c r="C299">
        <v>5.1448198284109704E-4</v>
      </c>
      <c r="D299">
        <v>6.2458908612756901E-3</v>
      </c>
      <c r="E299" t="s">
        <v>354</v>
      </c>
      <c r="F299">
        <v>2025</v>
      </c>
    </row>
    <row r="300" spans="1:6" x14ac:dyDescent="0.25">
      <c r="A300">
        <v>2</v>
      </c>
      <c r="B300">
        <v>45773</v>
      </c>
      <c r="C300">
        <v>0</v>
      </c>
      <c r="D300">
        <v>0</v>
      </c>
      <c r="E300" t="s">
        <v>354</v>
      </c>
      <c r="F300">
        <v>2025</v>
      </c>
    </row>
    <row r="301" spans="1:6" x14ac:dyDescent="0.25">
      <c r="A301">
        <v>2</v>
      </c>
      <c r="B301">
        <v>45774</v>
      </c>
      <c r="C301">
        <v>0</v>
      </c>
      <c r="D301">
        <v>0</v>
      </c>
      <c r="E301" t="s">
        <v>354</v>
      </c>
      <c r="F301">
        <v>2025</v>
      </c>
    </row>
    <row r="302" spans="1:6" x14ac:dyDescent="0.25">
      <c r="A302">
        <v>2</v>
      </c>
      <c r="B302">
        <v>45775</v>
      </c>
      <c r="C302">
        <v>1.0258532184015401E-3</v>
      </c>
      <c r="D302">
        <v>2.6135249918326502E-3</v>
      </c>
      <c r="E302" t="s">
        <v>354</v>
      </c>
      <c r="F302">
        <v>2025</v>
      </c>
    </row>
    <row r="303" spans="1:6" x14ac:dyDescent="0.25">
      <c r="A303">
        <v>2</v>
      </c>
      <c r="B303">
        <v>45776</v>
      </c>
      <c r="C303">
        <v>5.94413536619731E-3</v>
      </c>
      <c r="D303">
        <v>4.7572499185404302E-3</v>
      </c>
      <c r="E303" t="s">
        <v>354</v>
      </c>
      <c r="F303">
        <v>2025</v>
      </c>
    </row>
    <row r="304" spans="1:6" x14ac:dyDescent="0.25">
      <c r="A304">
        <v>2</v>
      </c>
      <c r="B304">
        <v>45777</v>
      </c>
      <c r="C304">
        <v>-3.4952988160513701E-3</v>
      </c>
      <c r="D304">
        <v>6.4859255415750095E-4</v>
      </c>
      <c r="E304" t="s">
        <v>354</v>
      </c>
      <c r="F304">
        <v>2025</v>
      </c>
    </row>
    <row r="305" spans="1:6" x14ac:dyDescent="0.25">
      <c r="A305">
        <v>2</v>
      </c>
      <c r="B305">
        <v>45778</v>
      </c>
      <c r="C305">
        <v>1.34151178998398E-3</v>
      </c>
      <c r="D305">
        <v>3.2408607726213102E-3</v>
      </c>
      <c r="E305" t="s">
        <v>356</v>
      </c>
      <c r="F305">
        <v>2025</v>
      </c>
    </row>
    <row r="306" spans="1:6" x14ac:dyDescent="0.25">
      <c r="A306">
        <v>2</v>
      </c>
      <c r="B306">
        <v>45779</v>
      </c>
      <c r="C306">
        <v>1.1285520732275499E-2</v>
      </c>
      <c r="D306">
        <v>1.5699702803979799E-2</v>
      </c>
      <c r="E306" t="s">
        <v>356</v>
      </c>
      <c r="F306">
        <v>2025</v>
      </c>
    </row>
    <row r="307" spans="1:6" x14ac:dyDescent="0.25">
      <c r="A307">
        <v>2</v>
      </c>
      <c r="B307">
        <v>45780</v>
      </c>
      <c r="C307">
        <v>0</v>
      </c>
      <c r="D307">
        <v>0</v>
      </c>
      <c r="E307" t="s">
        <v>356</v>
      </c>
      <c r="F307">
        <v>2025</v>
      </c>
    </row>
    <row r="308" spans="1:6" x14ac:dyDescent="0.25">
      <c r="A308">
        <v>2</v>
      </c>
      <c r="B308">
        <v>45781</v>
      </c>
      <c r="C308">
        <v>0</v>
      </c>
      <c r="D308">
        <v>0</v>
      </c>
      <c r="E308" t="s">
        <v>356</v>
      </c>
      <c r="F308">
        <v>2025</v>
      </c>
    </row>
    <row r="309" spans="1:6" x14ac:dyDescent="0.25">
      <c r="A309">
        <v>2</v>
      </c>
      <c r="B309">
        <v>45782</v>
      </c>
      <c r="C309">
        <v>2.7904421553939201E-3</v>
      </c>
      <c r="D309">
        <v>-3.68933273964767E-3</v>
      </c>
      <c r="E309" t="s">
        <v>356</v>
      </c>
      <c r="F309">
        <v>2025</v>
      </c>
    </row>
    <row r="310" spans="1:6" x14ac:dyDescent="0.25">
      <c r="A310">
        <v>2</v>
      </c>
      <c r="B310">
        <v>45783</v>
      </c>
      <c r="C310">
        <v>-9.9670122069384103E-4</v>
      </c>
      <c r="D310">
        <v>-5.8737151248163802E-3</v>
      </c>
      <c r="E310" t="s">
        <v>356</v>
      </c>
      <c r="F310">
        <v>2025</v>
      </c>
    </row>
    <row r="311" spans="1:6" x14ac:dyDescent="0.25">
      <c r="A311">
        <v>2</v>
      </c>
      <c r="B311">
        <v>45784</v>
      </c>
      <c r="C311">
        <v>-1.35943805390448E-3</v>
      </c>
      <c r="D311">
        <v>2.0551024340118599E-3</v>
      </c>
      <c r="E311" t="s">
        <v>356</v>
      </c>
      <c r="F311">
        <v>2025</v>
      </c>
    </row>
    <row r="312" spans="1:6" x14ac:dyDescent="0.25">
      <c r="A312">
        <v>2</v>
      </c>
      <c r="B312">
        <v>45785</v>
      </c>
      <c r="C312">
        <v>1.6562639198989301E-3</v>
      </c>
      <c r="D312">
        <v>3.7813241043389602E-3</v>
      </c>
      <c r="E312" t="s">
        <v>356</v>
      </c>
      <c r="F312">
        <v>2025</v>
      </c>
    </row>
    <row r="313" spans="1:6" x14ac:dyDescent="0.25">
      <c r="A313">
        <v>2</v>
      </c>
      <c r="B313">
        <v>45786</v>
      </c>
      <c r="C313">
        <v>-5.39068395046027E-4</v>
      </c>
      <c r="D313">
        <v>1.0215808964371101E-3</v>
      </c>
      <c r="E313" t="s">
        <v>356</v>
      </c>
      <c r="F313">
        <v>2025</v>
      </c>
    </row>
    <row r="314" spans="1:6" x14ac:dyDescent="0.25">
      <c r="A314">
        <v>2</v>
      </c>
      <c r="B314">
        <v>45787</v>
      </c>
      <c r="C314">
        <v>0</v>
      </c>
      <c r="D314">
        <v>0</v>
      </c>
      <c r="E314" t="s">
        <v>356</v>
      </c>
      <c r="F314">
        <v>2025</v>
      </c>
    </row>
    <row r="315" spans="1:6" x14ac:dyDescent="0.25">
      <c r="A315">
        <v>2</v>
      </c>
      <c r="B315">
        <v>45788</v>
      </c>
      <c r="C315">
        <v>0</v>
      </c>
      <c r="D315">
        <v>0</v>
      </c>
      <c r="E315" t="s">
        <v>356</v>
      </c>
      <c r="F315">
        <v>2025</v>
      </c>
    </row>
    <row r="316" spans="1:6" x14ac:dyDescent="0.25">
      <c r="A316">
        <v>2</v>
      </c>
      <c r="B316">
        <v>45789</v>
      </c>
      <c r="C316">
        <v>1.6101980159131099E-2</v>
      </c>
      <c r="D316">
        <v>2.45567036611813E-2</v>
      </c>
      <c r="E316" t="s">
        <v>356</v>
      </c>
      <c r="F316">
        <v>2025</v>
      </c>
    </row>
    <row r="317" spans="1:6" x14ac:dyDescent="0.25">
      <c r="A317">
        <v>2</v>
      </c>
      <c r="B317">
        <v>45790</v>
      </c>
      <c r="C317">
        <v>1.4704893496910299E-2</v>
      </c>
      <c r="D317">
        <v>6.1632322729254802E-3</v>
      </c>
      <c r="E317" t="s">
        <v>356</v>
      </c>
      <c r="F317">
        <v>2025</v>
      </c>
    </row>
    <row r="318" spans="1:6" x14ac:dyDescent="0.25">
      <c r="A318">
        <v>2</v>
      </c>
      <c r="B318">
        <v>45791</v>
      </c>
      <c r="C318">
        <v>-4.0697783838021797E-3</v>
      </c>
      <c r="D318">
        <v>0</v>
      </c>
      <c r="E318" t="s">
        <v>356</v>
      </c>
      <c r="F318">
        <v>2025</v>
      </c>
    </row>
    <row r="319" spans="1:6" x14ac:dyDescent="0.25">
      <c r="A319">
        <v>2</v>
      </c>
      <c r="B319">
        <v>45792</v>
      </c>
      <c r="C319">
        <v>-2.86257298838055E-3</v>
      </c>
      <c r="D319">
        <v>5.5067442148248897E-3</v>
      </c>
      <c r="E319" t="s">
        <v>356</v>
      </c>
      <c r="F319">
        <v>2025</v>
      </c>
    </row>
    <row r="320" spans="1:6" x14ac:dyDescent="0.25">
      <c r="A320">
        <v>2</v>
      </c>
      <c r="B320">
        <v>45793</v>
      </c>
      <c r="C320">
        <v>9.3811704632631408E-3</v>
      </c>
      <c r="D320">
        <v>6.1534674789243101E-3</v>
      </c>
      <c r="E320" t="s">
        <v>356</v>
      </c>
      <c r="F320">
        <v>2025</v>
      </c>
    </row>
    <row r="321" spans="1:6" x14ac:dyDescent="0.25">
      <c r="A321">
        <v>2</v>
      </c>
      <c r="B321">
        <v>45794</v>
      </c>
      <c r="C321">
        <v>0</v>
      </c>
      <c r="D321">
        <v>0</v>
      </c>
      <c r="E321" t="s">
        <v>356</v>
      </c>
      <c r="F321">
        <v>2025</v>
      </c>
    </row>
    <row r="322" spans="1:6" x14ac:dyDescent="0.25">
      <c r="A322">
        <v>2</v>
      </c>
      <c r="B322">
        <v>45795</v>
      </c>
      <c r="C322">
        <v>0</v>
      </c>
      <c r="D322">
        <v>0</v>
      </c>
      <c r="E322" t="s">
        <v>356</v>
      </c>
      <c r="F322">
        <v>2025</v>
      </c>
    </row>
    <row r="323" spans="1:6" x14ac:dyDescent="0.25">
      <c r="A323">
        <v>2</v>
      </c>
      <c r="B323">
        <v>45796</v>
      </c>
      <c r="C323">
        <v>-2.7239142684810599E-3</v>
      </c>
      <c r="D323">
        <v>2.5686502354596002E-3</v>
      </c>
      <c r="E323" t="s">
        <v>356</v>
      </c>
      <c r="F323">
        <v>2025</v>
      </c>
    </row>
    <row r="324" spans="1:6" x14ac:dyDescent="0.25">
      <c r="A324">
        <v>2</v>
      </c>
      <c r="B324">
        <v>45797</v>
      </c>
      <c r="C324">
        <v>-1.78496871394218E-3</v>
      </c>
      <c r="D324">
        <v>-1.0370279997561299E-3</v>
      </c>
      <c r="E324" t="s">
        <v>356</v>
      </c>
      <c r="F324">
        <v>2025</v>
      </c>
    </row>
    <row r="325" spans="1:6" x14ac:dyDescent="0.25">
      <c r="A325">
        <v>2</v>
      </c>
      <c r="B325">
        <v>45798</v>
      </c>
      <c r="C325">
        <v>-1.7133896628565699E-2</v>
      </c>
      <c r="D325">
        <v>-1.3128969223253399E-2</v>
      </c>
      <c r="E325" t="s">
        <v>356</v>
      </c>
      <c r="F325">
        <v>2025</v>
      </c>
    </row>
    <row r="326" spans="1:6" x14ac:dyDescent="0.25">
      <c r="A326">
        <v>2</v>
      </c>
      <c r="B326">
        <v>45799</v>
      </c>
      <c r="C326">
        <v>-1.3692098628113E-3</v>
      </c>
      <c r="D326">
        <v>-7.4252830889176601E-4</v>
      </c>
      <c r="E326" t="s">
        <v>356</v>
      </c>
      <c r="F326">
        <v>2025</v>
      </c>
    </row>
    <row r="327" spans="1:6" x14ac:dyDescent="0.25">
      <c r="A327">
        <v>2</v>
      </c>
      <c r="B327">
        <v>45800</v>
      </c>
      <c r="C327">
        <v>-1.3614938142170201E-3</v>
      </c>
      <c r="D327">
        <v>-3.2819369620410402E-3</v>
      </c>
      <c r="E327" t="s">
        <v>356</v>
      </c>
      <c r="F327">
        <v>2025</v>
      </c>
    </row>
    <row r="328" spans="1:6" x14ac:dyDescent="0.25">
      <c r="A328">
        <v>2</v>
      </c>
      <c r="B328">
        <v>45801</v>
      </c>
      <c r="C328">
        <v>0</v>
      </c>
      <c r="D328">
        <v>0</v>
      </c>
      <c r="E328" t="s">
        <v>356</v>
      </c>
      <c r="F328">
        <v>2025</v>
      </c>
    </row>
    <row r="329" spans="1:6" x14ac:dyDescent="0.25">
      <c r="A329">
        <v>2</v>
      </c>
      <c r="B329">
        <v>45802</v>
      </c>
      <c r="C329">
        <v>0</v>
      </c>
      <c r="D329">
        <v>0</v>
      </c>
      <c r="E329" t="s">
        <v>356</v>
      </c>
      <c r="F329">
        <v>2025</v>
      </c>
    </row>
    <row r="330" spans="1:6" x14ac:dyDescent="0.25">
      <c r="A330">
        <v>2</v>
      </c>
      <c r="B330">
        <v>45803</v>
      </c>
      <c r="C330">
        <v>0</v>
      </c>
      <c r="D330">
        <v>0</v>
      </c>
      <c r="E330" t="s">
        <v>356</v>
      </c>
      <c r="F330">
        <v>2025</v>
      </c>
    </row>
    <row r="331" spans="1:6" x14ac:dyDescent="0.25">
      <c r="A331">
        <v>2</v>
      </c>
      <c r="B331">
        <v>45804</v>
      </c>
      <c r="C331">
        <v>1.50240508153743E-2</v>
      </c>
      <c r="D331">
        <v>1.7830516898608401E-2</v>
      </c>
      <c r="E331" t="s">
        <v>356</v>
      </c>
      <c r="F331">
        <v>2025</v>
      </c>
    </row>
    <row r="332" spans="1:6" x14ac:dyDescent="0.25">
      <c r="A332">
        <v>2</v>
      </c>
      <c r="B332">
        <v>45805</v>
      </c>
      <c r="C332">
        <v>-1.0739034477038599E-2</v>
      </c>
      <c r="D332">
        <v>-6.4701214673746898E-3</v>
      </c>
      <c r="E332" t="s">
        <v>356</v>
      </c>
      <c r="F332">
        <v>2025</v>
      </c>
    </row>
    <row r="333" spans="1:6" x14ac:dyDescent="0.25">
      <c r="A333">
        <v>2</v>
      </c>
      <c r="B333">
        <v>45806</v>
      </c>
      <c r="C333">
        <v>1.9951574386822802E-3</v>
      </c>
      <c r="D333">
        <v>3.56331019229583E-3</v>
      </c>
      <c r="E333" t="s">
        <v>356</v>
      </c>
      <c r="F333">
        <v>2025</v>
      </c>
    </row>
    <row r="334" spans="1:6" x14ac:dyDescent="0.25">
      <c r="A334">
        <v>2</v>
      </c>
      <c r="B334">
        <v>45807</v>
      </c>
      <c r="C334">
        <v>1.96185541995852E-3</v>
      </c>
      <c r="D334">
        <v>-2.4487297214570398E-4</v>
      </c>
      <c r="E334" t="s">
        <v>356</v>
      </c>
      <c r="F334">
        <v>2025</v>
      </c>
    </row>
    <row r="335" spans="1:6" x14ac:dyDescent="0.25">
      <c r="A335">
        <v>2</v>
      </c>
      <c r="B335">
        <v>45808</v>
      </c>
      <c r="C335">
        <v>0</v>
      </c>
      <c r="D335">
        <v>0</v>
      </c>
      <c r="E335" t="s">
        <v>356</v>
      </c>
      <c r="F335">
        <v>2025</v>
      </c>
    </row>
    <row r="336" spans="1:6" x14ac:dyDescent="0.25">
      <c r="A336">
        <v>2</v>
      </c>
      <c r="B336">
        <v>45809</v>
      </c>
      <c r="C336">
        <v>0</v>
      </c>
      <c r="D336">
        <v>0</v>
      </c>
      <c r="E336" t="s">
        <v>358</v>
      </c>
      <c r="F336">
        <v>2025</v>
      </c>
    </row>
    <row r="337" spans="1:6" x14ac:dyDescent="0.25">
      <c r="A337">
        <v>2</v>
      </c>
      <c r="B337">
        <v>45810</v>
      </c>
      <c r="C337">
        <v>1.0392977958237499E-2</v>
      </c>
      <c r="D337">
        <v>6.9805890637437704E-3</v>
      </c>
      <c r="E337" t="s">
        <v>358</v>
      </c>
      <c r="F337">
        <v>2025</v>
      </c>
    </row>
    <row r="338" spans="1:6" x14ac:dyDescent="0.25">
      <c r="A338">
        <v>2</v>
      </c>
      <c r="B338">
        <v>45811</v>
      </c>
      <c r="C338">
        <v>1.2690310524594601E-3</v>
      </c>
      <c r="D338">
        <v>2.8580115536638302E-3</v>
      </c>
      <c r="E338" t="s">
        <v>358</v>
      </c>
      <c r="F338">
        <v>2025</v>
      </c>
    </row>
    <row r="339" spans="1:6" x14ac:dyDescent="0.25">
      <c r="A339">
        <v>2</v>
      </c>
      <c r="B339">
        <v>45812</v>
      </c>
      <c r="C339">
        <v>1.9424942202537199E-3</v>
      </c>
      <c r="D339">
        <v>1.21270919233574E-3</v>
      </c>
      <c r="E339" t="s">
        <v>358</v>
      </c>
      <c r="F339">
        <v>2025</v>
      </c>
    </row>
    <row r="340" spans="1:6" x14ac:dyDescent="0.25">
      <c r="A340">
        <v>2</v>
      </c>
      <c r="B340">
        <v>45813</v>
      </c>
      <c r="C340">
        <v>-4.59359612709465E-3</v>
      </c>
      <c r="D340">
        <v>-4.1182170542636296E-3</v>
      </c>
      <c r="E340" t="s">
        <v>358</v>
      </c>
      <c r="F340">
        <v>2025</v>
      </c>
    </row>
    <row r="341" spans="1:6" x14ac:dyDescent="0.25">
      <c r="A341">
        <v>2</v>
      </c>
      <c r="B341">
        <v>45814</v>
      </c>
      <c r="C341">
        <v>1.12047499365651E-2</v>
      </c>
      <c r="D341">
        <v>8.5745560690828598E-3</v>
      </c>
      <c r="E341" t="s">
        <v>358</v>
      </c>
      <c r="F341">
        <v>2025</v>
      </c>
    </row>
    <row r="342" spans="1:6" x14ac:dyDescent="0.25">
      <c r="A342">
        <v>2</v>
      </c>
      <c r="B342">
        <v>45815</v>
      </c>
      <c r="C342">
        <v>0</v>
      </c>
      <c r="D342">
        <v>0</v>
      </c>
      <c r="E342" t="s">
        <v>358</v>
      </c>
      <c r="F342">
        <v>2025</v>
      </c>
    </row>
    <row r="343" spans="1:6" x14ac:dyDescent="0.25">
      <c r="A343">
        <v>2</v>
      </c>
      <c r="B343">
        <v>45816</v>
      </c>
      <c r="C343">
        <v>0</v>
      </c>
      <c r="D343">
        <v>0</v>
      </c>
      <c r="E343" t="s">
        <v>358</v>
      </c>
      <c r="F343">
        <v>2025</v>
      </c>
    </row>
    <row r="344" spans="1:6" x14ac:dyDescent="0.25">
      <c r="A344">
        <v>2</v>
      </c>
      <c r="B344">
        <v>45817</v>
      </c>
      <c r="C344">
        <v>5.1420532410630902E-3</v>
      </c>
      <c r="D344">
        <v>4.8236358154962701E-4</v>
      </c>
      <c r="E344" t="s">
        <v>358</v>
      </c>
      <c r="F344">
        <v>2025</v>
      </c>
    </row>
    <row r="345" spans="1:6" x14ac:dyDescent="0.25">
      <c r="A345">
        <v>2</v>
      </c>
      <c r="B345">
        <v>45818</v>
      </c>
      <c r="C345">
        <v>2.0149733015801799E-3</v>
      </c>
      <c r="D345">
        <v>3.7365153980595299E-3</v>
      </c>
      <c r="E345" t="s">
        <v>358</v>
      </c>
      <c r="F345">
        <v>2025</v>
      </c>
    </row>
    <row r="346" spans="1:6" x14ac:dyDescent="0.25">
      <c r="A346">
        <v>2</v>
      </c>
      <c r="B346">
        <v>45819</v>
      </c>
      <c r="C346">
        <v>-2.4120023366758201E-4</v>
      </c>
      <c r="D346">
        <v>-2.2815971179826998E-3</v>
      </c>
      <c r="E346" t="s">
        <v>358</v>
      </c>
      <c r="F346">
        <v>2025</v>
      </c>
    </row>
    <row r="347" spans="1:6" x14ac:dyDescent="0.25">
      <c r="A347">
        <v>2</v>
      </c>
      <c r="B347">
        <v>45820</v>
      </c>
      <c r="C347">
        <v>-2.1133182071150199E-3</v>
      </c>
      <c r="D347">
        <v>4.8143467533250401E-3</v>
      </c>
      <c r="E347" t="s">
        <v>358</v>
      </c>
      <c r="F347">
        <v>2025</v>
      </c>
    </row>
    <row r="348" spans="1:6" x14ac:dyDescent="0.25">
      <c r="A348">
        <v>2</v>
      </c>
      <c r="B348">
        <v>45821</v>
      </c>
      <c r="C348">
        <v>-1.3144206962771601E-2</v>
      </c>
      <c r="D348">
        <v>-1.1798526681439801E-2</v>
      </c>
      <c r="E348" t="s">
        <v>358</v>
      </c>
      <c r="F348">
        <v>2025</v>
      </c>
    </row>
    <row r="349" spans="1:6" x14ac:dyDescent="0.25">
      <c r="A349">
        <v>2</v>
      </c>
      <c r="B349">
        <v>45822</v>
      </c>
      <c r="C349">
        <v>0</v>
      </c>
      <c r="D349">
        <v>0</v>
      </c>
      <c r="E349" t="s">
        <v>358</v>
      </c>
      <c r="F349">
        <v>2025</v>
      </c>
    </row>
    <row r="350" spans="1:6" x14ac:dyDescent="0.25">
      <c r="A350">
        <v>2</v>
      </c>
      <c r="B350">
        <v>45823</v>
      </c>
      <c r="C350">
        <v>0</v>
      </c>
      <c r="D350">
        <v>0</v>
      </c>
      <c r="E350" t="s">
        <v>358</v>
      </c>
      <c r="F350">
        <v>2025</v>
      </c>
    </row>
    <row r="351" spans="1:6" x14ac:dyDescent="0.25">
      <c r="A351">
        <v>2</v>
      </c>
      <c r="B351">
        <v>45824</v>
      </c>
      <c r="C351">
        <v>1.31066754895752E-2</v>
      </c>
      <c r="D351">
        <v>9.6969696969684304E-4</v>
      </c>
      <c r="E351" t="s">
        <v>358</v>
      </c>
      <c r="F351">
        <v>2025</v>
      </c>
    </row>
    <row r="352" spans="1:6" x14ac:dyDescent="0.25">
      <c r="A352">
        <v>2</v>
      </c>
      <c r="B352">
        <v>45825</v>
      </c>
      <c r="C352">
        <v>-7.67120858079939E-3</v>
      </c>
      <c r="D352">
        <v>-9.2031968999758407E-3</v>
      </c>
      <c r="E352" t="s">
        <v>358</v>
      </c>
      <c r="F352">
        <v>2025</v>
      </c>
    </row>
    <row r="353" spans="1:6" x14ac:dyDescent="0.25">
      <c r="A353">
        <v>2</v>
      </c>
      <c r="B353">
        <v>45826</v>
      </c>
      <c r="C353">
        <v>-1.15738093760109E-3</v>
      </c>
      <c r="D353">
        <v>2.4443901246651301E-4</v>
      </c>
      <c r="E353" t="s">
        <v>358</v>
      </c>
      <c r="F353">
        <v>2025</v>
      </c>
    </row>
    <row r="354" spans="1:6" x14ac:dyDescent="0.25">
      <c r="A354">
        <v>2</v>
      </c>
      <c r="B354">
        <v>45827</v>
      </c>
      <c r="C354">
        <v>0</v>
      </c>
      <c r="D354">
        <v>0</v>
      </c>
      <c r="E354" t="s">
        <v>358</v>
      </c>
      <c r="F354">
        <v>2025</v>
      </c>
    </row>
    <row r="355" spans="1:6" x14ac:dyDescent="0.25">
      <c r="A355">
        <v>2</v>
      </c>
      <c r="B355">
        <v>45828</v>
      </c>
      <c r="C355">
        <v>-3.8356782193978999E-3</v>
      </c>
      <c r="D355">
        <v>-4.0322580645161298E-3</v>
      </c>
      <c r="E355" t="s">
        <v>358</v>
      </c>
      <c r="F355">
        <v>2025</v>
      </c>
    </row>
    <row r="356" spans="1:6" x14ac:dyDescent="0.25">
      <c r="A356">
        <v>2</v>
      </c>
      <c r="B356">
        <v>45829</v>
      </c>
      <c r="C356">
        <v>0</v>
      </c>
      <c r="D356">
        <v>0</v>
      </c>
      <c r="E356" t="s">
        <v>358</v>
      </c>
      <c r="F356">
        <v>2025</v>
      </c>
    </row>
    <row r="357" spans="1:6" x14ac:dyDescent="0.25">
      <c r="A357">
        <v>2</v>
      </c>
      <c r="B357">
        <v>45830</v>
      </c>
      <c r="C357">
        <v>0</v>
      </c>
      <c r="D357">
        <v>0</v>
      </c>
      <c r="E357" t="s">
        <v>358</v>
      </c>
      <c r="F357">
        <v>2025</v>
      </c>
    </row>
    <row r="358" spans="1:6" x14ac:dyDescent="0.25">
      <c r="A358">
        <v>2</v>
      </c>
      <c r="B358">
        <v>45831</v>
      </c>
      <c r="C358">
        <v>8.7954383539725605E-3</v>
      </c>
      <c r="D358">
        <v>9.0172984909826503E-3</v>
      </c>
      <c r="E358" t="s">
        <v>358</v>
      </c>
      <c r="F358">
        <v>2025</v>
      </c>
    </row>
    <row r="359" spans="1:6" x14ac:dyDescent="0.25">
      <c r="A359">
        <v>2</v>
      </c>
      <c r="B359">
        <v>45832</v>
      </c>
      <c r="C359">
        <v>1.2103998376579401E-2</v>
      </c>
      <c r="D359">
        <v>1.16724420937442E-2</v>
      </c>
      <c r="E359" t="s">
        <v>358</v>
      </c>
      <c r="F359">
        <v>2025</v>
      </c>
    </row>
    <row r="360" spans="1:6" x14ac:dyDescent="0.25">
      <c r="A360">
        <v>2</v>
      </c>
      <c r="B360">
        <v>45833</v>
      </c>
      <c r="C360">
        <v>-3.9348173853404099E-4</v>
      </c>
      <c r="D360">
        <v>-1.74268373294872E-3</v>
      </c>
      <c r="E360" t="s">
        <v>358</v>
      </c>
      <c r="F360">
        <v>2025</v>
      </c>
    </row>
    <row r="361" spans="1:6" x14ac:dyDescent="0.25">
      <c r="A361">
        <v>2</v>
      </c>
      <c r="B361">
        <v>45834</v>
      </c>
      <c r="C361">
        <v>2.16171325989367E-3</v>
      </c>
      <c r="D361">
        <v>9.5111967252588005E-3</v>
      </c>
      <c r="E361" t="s">
        <v>358</v>
      </c>
      <c r="F361">
        <v>2025</v>
      </c>
    </row>
    <row r="362" spans="1:6" x14ac:dyDescent="0.25">
      <c r="A362">
        <v>2</v>
      </c>
      <c r="B362">
        <v>45835</v>
      </c>
      <c r="C362">
        <v>-3.1035880338592397E-4</v>
      </c>
      <c r="D362">
        <v>5.3070960047705302E-3</v>
      </c>
      <c r="E362" t="s">
        <v>358</v>
      </c>
      <c r="F362">
        <v>2025</v>
      </c>
    </row>
    <row r="363" spans="1:6" x14ac:dyDescent="0.25">
      <c r="A363">
        <v>2</v>
      </c>
      <c r="B363">
        <v>45836</v>
      </c>
      <c r="C363">
        <v>0</v>
      </c>
      <c r="D363">
        <v>0</v>
      </c>
      <c r="E363" t="s">
        <v>358</v>
      </c>
      <c r="F363">
        <v>2025</v>
      </c>
    </row>
    <row r="364" spans="1:6" x14ac:dyDescent="0.25">
      <c r="A364">
        <v>2</v>
      </c>
      <c r="B364">
        <v>45837</v>
      </c>
      <c r="C364">
        <v>0</v>
      </c>
      <c r="D364">
        <v>0</v>
      </c>
      <c r="E364" t="s">
        <v>358</v>
      </c>
      <c r="F364">
        <v>2025</v>
      </c>
    </row>
    <row r="365" spans="1:6" x14ac:dyDescent="0.25">
      <c r="A365">
        <v>2</v>
      </c>
      <c r="B365">
        <v>45838</v>
      </c>
      <c r="C365">
        <v>1.6814801882244299E-2</v>
      </c>
      <c r="D365">
        <v>4.6859244320540698E-3</v>
      </c>
      <c r="E365" t="s">
        <v>358</v>
      </c>
      <c r="F365">
        <v>2025</v>
      </c>
    </row>
    <row r="366" spans="1:6" x14ac:dyDescent="0.25">
      <c r="A366">
        <v>3</v>
      </c>
      <c r="B366">
        <v>45839</v>
      </c>
      <c r="C366">
        <v>-4.19120048303379E-3</v>
      </c>
      <c r="D366">
        <v>-1.3578934939188999E-3</v>
      </c>
      <c r="E366" t="s">
        <v>347</v>
      </c>
      <c r="F366">
        <v>2025</v>
      </c>
    </row>
    <row r="367" spans="1:6" x14ac:dyDescent="0.25">
      <c r="A367">
        <v>3</v>
      </c>
      <c r="B367">
        <v>45840</v>
      </c>
      <c r="C367">
        <v>2.5737904885636501E-2</v>
      </c>
      <c r="D367">
        <v>4.2565770026603599E-3</v>
      </c>
      <c r="E367" t="s">
        <v>347</v>
      </c>
      <c r="F367">
        <v>2025</v>
      </c>
    </row>
    <row r="368" spans="1:6" x14ac:dyDescent="0.25">
      <c r="A368">
        <v>3</v>
      </c>
      <c r="B368">
        <v>45841</v>
      </c>
      <c r="C368">
        <v>-1.8705881759169998E-2</v>
      </c>
      <c r="D368">
        <v>5.8868546535586503E-3</v>
      </c>
      <c r="E368" t="s">
        <v>347</v>
      </c>
      <c r="F368">
        <v>2025</v>
      </c>
    </row>
    <row r="369" spans="1:6" x14ac:dyDescent="0.25">
      <c r="A369">
        <v>3</v>
      </c>
      <c r="B369">
        <v>45842</v>
      </c>
      <c r="C369">
        <v>0</v>
      </c>
      <c r="D369">
        <v>0</v>
      </c>
      <c r="E369" t="s">
        <v>347</v>
      </c>
      <c r="F369">
        <v>2025</v>
      </c>
    </row>
    <row r="370" spans="1:6" x14ac:dyDescent="0.25">
      <c r="A370">
        <v>3</v>
      </c>
      <c r="B370">
        <v>45843</v>
      </c>
      <c r="C370">
        <v>0</v>
      </c>
      <c r="D370">
        <v>0</v>
      </c>
      <c r="E370" t="s">
        <v>347</v>
      </c>
      <c r="F370">
        <v>2025</v>
      </c>
    </row>
    <row r="371" spans="1:6" x14ac:dyDescent="0.25">
      <c r="A371">
        <v>3</v>
      </c>
      <c r="B371">
        <v>45844</v>
      </c>
      <c r="C371">
        <v>0</v>
      </c>
      <c r="D371">
        <v>0</v>
      </c>
      <c r="E371" t="s">
        <v>347</v>
      </c>
      <c r="F371">
        <v>2025</v>
      </c>
    </row>
    <row r="372" spans="1:6" x14ac:dyDescent="0.25">
      <c r="A372">
        <v>3</v>
      </c>
      <c r="B372">
        <v>45845</v>
      </c>
      <c r="C372">
        <v>-3.2276755740878699E-3</v>
      </c>
      <c r="D372">
        <v>-8.1933633756657905E-3</v>
      </c>
      <c r="E372" t="s">
        <v>347</v>
      </c>
      <c r="F372">
        <v>2025</v>
      </c>
    </row>
    <row r="373" spans="1:6" x14ac:dyDescent="0.25">
      <c r="A373">
        <v>3</v>
      </c>
      <c r="B373">
        <v>45846</v>
      </c>
      <c r="C373">
        <v>-2.2218326200366101E-3</v>
      </c>
      <c r="D373">
        <v>5.3106744556563601E-4</v>
      </c>
      <c r="E373" t="s">
        <v>347</v>
      </c>
      <c r="F373">
        <v>2025</v>
      </c>
    </row>
    <row r="374" spans="1:6" x14ac:dyDescent="0.25">
      <c r="A374">
        <v>3</v>
      </c>
      <c r="B374">
        <v>45847</v>
      </c>
      <c r="C374">
        <v>7.96045019292713E-3</v>
      </c>
      <c r="D374">
        <v>6.7232837933473002E-3</v>
      </c>
      <c r="E374" t="s">
        <v>347</v>
      </c>
      <c r="F374">
        <v>2025</v>
      </c>
    </row>
    <row r="375" spans="1:6" x14ac:dyDescent="0.25">
      <c r="A375">
        <v>3</v>
      </c>
      <c r="B375">
        <v>45848</v>
      </c>
      <c r="C375">
        <v>-8.6149598059448397E-4</v>
      </c>
      <c r="D375">
        <v>1.9332161687171099E-3</v>
      </c>
      <c r="E375" t="s">
        <v>347</v>
      </c>
      <c r="F375">
        <v>2025</v>
      </c>
    </row>
    <row r="376" spans="1:6" x14ac:dyDescent="0.25">
      <c r="A376">
        <v>3</v>
      </c>
      <c r="B376">
        <v>45849</v>
      </c>
      <c r="C376">
        <v>6.57926343568205E-4</v>
      </c>
      <c r="D376">
        <v>-5.3791732444599099E-3</v>
      </c>
      <c r="E376" t="s">
        <v>347</v>
      </c>
      <c r="F376">
        <v>2025</v>
      </c>
    </row>
    <row r="377" spans="1:6" x14ac:dyDescent="0.25">
      <c r="A377">
        <v>3</v>
      </c>
      <c r="B377">
        <v>45850</v>
      </c>
      <c r="C377">
        <v>0</v>
      </c>
      <c r="D377">
        <v>0</v>
      </c>
      <c r="E377" t="s">
        <v>347</v>
      </c>
      <c r="F377">
        <v>2025</v>
      </c>
    </row>
    <row r="378" spans="1:6" x14ac:dyDescent="0.25">
      <c r="A378">
        <v>3</v>
      </c>
      <c r="B378">
        <v>45851</v>
      </c>
      <c r="C378">
        <v>0</v>
      </c>
      <c r="D378">
        <v>0</v>
      </c>
      <c r="E378" t="s">
        <v>347</v>
      </c>
      <c r="F378">
        <v>2025</v>
      </c>
    </row>
    <row r="379" spans="1:6" x14ac:dyDescent="0.25">
      <c r="A379">
        <v>3</v>
      </c>
      <c r="B379">
        <v>45852</v>
      </c>
      <c r="C379">
        <v>5.1963365734697398E-3</v>
      </c>
      <c r="D379">
        <v>2.05749221092222E-3</v>
      </c>
      <c r="E379" t="s">
        <v>347</v>
      </c>
      <c r="F379">
        <v>2025</v>
      </c>
    </row>
    <row r="380" spans="1:6" x14ac:dyDescent="0.25">
      <c r="A380">
        <v>3</v>
      </c>
      <c r="B380">
        <v>45853</v>
      </c>
      <c r="C380">
        <v>-4.7210545488303203E-3</v>
      </c>
      <c r="D380">
        <v>-5.8078141499472401E-3</v>
      </c>
      <c r="E380" t="s">
        <v>347</v>
      </c>
      <c r="F380">
        <v>2025</v>
      </c>
    </row>
    <row r="381" spans="1:6" x14ac:dyDescent="0.25">
      <c r="A381">
        <v>3</v>
      </c>
      <c r="B381">
        <v>45854</v>
      </c>
      <c r="C381">
        <v>3.10352776489764E-3</v>
      </c>
      <c r="D381">
        <v>3.1273971794418798E-3</v>
      </c>
      <c r="E381" t="s">
        <v>347</v>
      </c>
      <c r="F381">
        <v>2025</v>
      </c>
    </row>
    <row r="382" spans="1:6" x14ac:dyDescent="0.25">
      <c r="A382">
        <v>3</v>
      </c>
      <c r="B382">
        <v>45855</v>
      </c>
      <c r="C382">
        <v>1.0036100367913499E-2</v>
      </c>
      <c r="D382">
        <v>5.5882352941176699E-3</v>
      </c>
      <c r="E382" t="s">
        <v>347</v>
      </c>
      <c r="F382">
        <v>2025</v>
      </c>
    </row>
    <row r="383" spans="1:6" x14ac:dyDescent="0.25">
      <c r="A383">
        <v>3</v>
      </c>
      <c r="B383">
        <v>45856</v>
      </c>
      <c r="C383">
        <v>2.2262541781459299E-3</v>
      </c>
      <c r="D383">
        <v>-8.1895291020761497E-4</v>
      </c>
      <c r="E383" t="s">
        <v>347</v>
      </c>
      <c r="F383">
        <v>2025</v>
      </c>
    </row>
    <row r="384" spans="1:6" x14ac:dyDescent="0.25">
      <c r="A384">
        <v>3</v>
      </c>
      <c r="B384">
        <v>45857</v>
      </c>
      <c r="C384">
        <v>0</v>
      </c>
      <c r="D384">
        <v>0</v>
      </c>
      <c r="E384" t="s">
        <v>347</v>
      </c>
      <c r="F384">
        <v>2025</v>
      </c>
    </row>
    <row r="385" spans="1:6" x14ac:dyDescent="0.25">
      <c r="A385">
        <v>3</v>
      </c>
      <c r="B385">
        <v>45858</v>
      </c>
      <c r="C385">
        <v>0</v>
      </c>
      <c r="D385">
        <v>0</v>
      </c>
      <c r="E385" t="s">
        <v>347</v>
      </c>
      <c r="F385">
        <v>2025</v>
      </c>
    </row>
    <row r="386" spans="1:6" x14ac:dyDescent="0.25">
      <c r="A386">
        <v>3</v>
      </c>
      <c r="B386">
        <v>45859</v>
      </c>
      <c r="C386">
        <v>4.89323720941792E-4</v>
      </c>
      <c r="D386">
        <v>2.4003278496576002E-3</v>
      </c>
      <c r="E386" t="s">
        <v>347</v>
      </c>
      <c r="F386">
        <v>2025</v>
      </c>
    </row>
    <row r="387" spans="1:6" x14ac:dyDescent="0.25">
      <c r="A387">
        <v>3</v>
      </c>
      <c r="B387">
        <v>45860</v>
      </c>
      <c r="C387">
        <v>-3.27810496613179E-3</v>
      </c>
      <c r="D387">
        <v>1.75213176030842E-3</v>
      </c>
      <c r="E387" t="s">
        <v>347</v>
      </c>
      <c r="F387">
        <v>2025</v>
      </c>
    </row>
    <row r="388" spans="1:6" x14ac:dyDescent="0.25">
      <c r="A388">
        <v>3</v>
      </c>
      <c r="B388">
        <v>45861</v>
      </c>
      <c r="C388">
        <v>8.5859514005659499E-3</v>
      </c>
      <c r="D388">
        <v>1.14855410447761E-2</v>
      </c>
      <c r="E388" t="s">
        <v>347</v>
      </c>
      <c r="F388">
        <v>2025</v>
      </c>
    </row>
    <row r="389" spans="1:6" x14ac:dyDescent="0.25">
      <c r="A389">
        <v>3</v>
      </c>
      <c r="B389">
        <v>45862</v>
      </c>
      <c r="C389">
        <v>5.1241951054592505E-4</v>
      </c>
      <c r="D389">
        <v>-1.3833650354487801E-3</v>
      </c>
      <c r="E389" t="s">
        <v>347</v>
      </c>
      <c r="F389">
        <v>2025</v>
      </c>
    </row>
    <row r="390" spans="1:6" x14ac:dyDescent="0.25">
      <c r="A390">
        <v>3</v>
      </c>
      <c r="B390">
        <v>45863</v>
      </c>
      <c r="C390">
        <v>5.5001825449902996E-3</v>
      </c>
      <c r="D390">
        <v>2.8860028860029402E-3</v>
      </c>
      <c r="E390" t="s">
        <v>347</v>
      </c>
      <c r="F390">
        <v>2025</v>
      </c>
    </row>
    <row r="391" spans="1:6" x14ac:dyDescent="0.25">
      <c r="A391">
        <v>3</v>
      </c>
      <c r="B391">
        <v>45864</v>
      </c>
      <c r="C391">
        <v>0</v>
      </c>
      <c r="D391">
        <v>0</v>
      </c>
      <c r="E391" t="s">
        <v>347</v>
      </c>
      <c r="F391">
        <v>2025</v>
      </c>
    </row>
    <row r="392" spans="1:6" x14ac:dyDescent="0.25">
      <c r="A392">
        <v>3</v>
      </c>
      <c r="B392">
        <v>45865</v>
      </c>
      <c r="C392">
        <v>0</v>
      </c>
      <c r="D392">
        <v>0</v>
      </c>
      <c r="E392" t="s">
        <v>347</v>
      </c>
      <c r="F392">
        <v>2025</v>
      </c>
    </row>
    <row r="393" spans="1:6" x14ac:dyDescent="0.25">
      <c r="A393">
        <v>3</v>
      </c>
      <c r="B393">
        <v>45866</v>
      </c>
      <c r="C393">
        <v>-1.3677263975105901E-3</v>
      </c>
      <c r="D393">
        <v>-4.3165467625899696E-3</v>
      </c>
      <c r="E393" t="s">
        <v>347</v>
      </c>
      <c r="F393">
        <v>2025</v>
      </c>
    </row>
    <row r="394" spans="1:6" x14ac:dyDescent="0.25">
      <c r="A394">
        <v>3</v>
      </c>
      <c r="B394">
        <v>45867</v>
      </c>
      <c r="C394">
        <v>-6.1620048560658801E-3</v>
      </c>
      <c r="D394">
        <v>-2.13872832369943E-3</v>
      </c>
      <c r="E394" t="s">
        <v>347</v>
      </c>
      <c r="F394">
        <v>2025</v>
      </c>
    </row>
    <row r="395" spans="1:6" x14ac:dyDescent="0.25">
      <c r="A395">
        <v>3</v>
      </c>
      <c r="B395">
        <v>45868</v>
      </c>
      <c r="C395">
        <v>2.26050500729569E-3</v>
      </c>
      <c r="D395">
        <v>-2.8384405954933198E-3</v>
      </c>
      <c r="E395" t="s">
        <v>347</v>
      </c>
      <c r="F395">
        <v>2025</v>
      </c>
    </row>
    <row r="396" spans="1:6" x14ac:dyDescent="0.25">
      <c r="A396">
        <v>3</v>
      </c>
      <c r="B396">
        <v>45869</v>
      </c>
      <c r="C396">
        <v>4.5644380987930301E-4</v>
      </c>
      <c r="D396">
        <v>-6.0415940513535204E-3</v>
      </c>
      <c r="E396" t="s">
        <v>347</v>
      </c>
      <c r="F396">
        <v>2025</v>
      </c>
    </row>
    <row r="397" spans="1:6" x14ac:dyDescent="0.25">
      <c r="A397">
        <v>3</v>
      </c>
      <c r="B397">
        <v>45870</v>
      </c>
      <c r="C397">
        <v>-1.78438045119865E-2</v>
      </c>
      <c r="D397">
        <v>-1.2507305669199199E-2</v>
      </c>
      <c r="E397" t="s">
        <v>349</v>
      </c>
      <c r="F397">
        <v>2025</v>
      </c>
    </row>
    <row r="398" spans="1:6" x14ac:dyDescent="0.25">
      <c r="A398">
        <v>3</v>
      </c>
      <c r="B398">
        <v>45871</v>
      </c>
      <c r="C398">
        <v>0</v>
      </c>
      <c r="D398">
        <v>0</v>
      </c>
      <c r="E398" t="s">
        <v>349</v>
      </c>
      <c r="F398">
        <v>2025</v>
      </c>
    </row>
    <row r="399" spans="1:6" x14ac:dyDescent="0.25">
      <c r="A399">
        <v>3</v>
      </c>
      <c r="B399">
        <v>45872</v>
      </c>
      <c r="C399">
        <v>0</v>
      </c>
      <c r="D399">
        <v>0</v>
      </c>
      <c r="E399" t="s">
        <v>349</v>
      </c>
      <c r="F399">
        <v>2025</v>
      </c>
    </row>
    <row r="400" spans="1:6" x14ac:dyDescent="0.25">
      <c r="A400">
        <v>3</v>
      </c>
      <c r="B400">
        <v>45873</v>
      </c>
      <c r="C400">
        <v>1.52254042185216E-2</v>
      </c>
      <c r="D400">
        <v>1.4559659090908899E-2</v>
      </c>
      <c r="E400" t="s">
        <v>349</v>
      </c>
      <c r="F400">
        <v>2025</v>
      </c>
    </row>
    <row r="401" spans="1:6" x14ac:dyDescent="0.25">
      <c r="A401">
        <v>3</v>
      </c>
      <c r="B401">
        <v>45874</v>
      </c>
      <c r="C401">
        <v>-1.19365286681129E-2</v>
      </c>
      <c r="D401">
        <v>-3.3835025084586498E-3</v>
      </c>
      <c r="E401" t="s">
        <v>349</v>
      </c>
      <c r="F401">
        <v>2025</v>
      </c>
    </row>
    <row r="402" spans="1:6" x14ac:dyDescent="0.25">
      <c r="A402">
        <v>3</v>
      </c>
      <c r="B402">
        <v>45875</v>
      </c>
      <c r="C402">
        <v>3.09537959633932E-3</v>
      </c>
      <c r="D402">
        <v>7.9021306485600497E-3</v>
      </c>
      <c r="E402" t="s">
        <v>349</v>
      </c>
      <c r="F402">
        <v>2025</v>
      </c>
    </row>
    <row r="403" spans="1:6" x14ac:dyDescent="0.25">
      <c r="A403">
        <v>3</v>
      </c>
      <c r="B403">
        <v>45876</v>
      </c>
      <c r="C403">
        <v>3.13645223850623E-3</v>
      </c>
      <c r="D403">
        <v>1.1615076369127001E-3</v>
      </c>
      <c r="E403" t="s">
        <v>349</v>
      </c>
      <c r="F403">
        <v>2025</v>
      </c>
    </row>
    <row r="404" spans="1:6" x14ac:dyDescent="0.25">
      <c r="A404">
        <v>3</v>
      </c>
      <c r="B404">
        <v>45877</v>
      </c>
      <c r="C404">
        <v>4.8244651583666497E-3</v>
      </c>
      <c r="D404">
        <v>7.19299263298345E-3</v>
      </c>
      <c r="E404" t="s">
        <v>349</v>
      </c>
      <c r="F404">
        <v>2025</v>
      </c>
    </row>
    <row r="405" spans="1:6" x14ac:dyDescent="0.25">
      <c r="A405">
        <v>3</v>
      </c>
      <c r="B405">
        <v>45878</v>
      </c>
      <c r="C405">
        <v>0</v>
      </c>
      <c r="D405">
        <v>0</v>
      </c>
      <c r="E405" t="s">
        <v>349</v>
      </c>
      <c r="F405">
        <v>2025</v>
      </c>
    </row>
    <row r="406" spans="1:6" x14ac:dyDescent="0.25">
      <c r="A406">
        <v>3</v>
      </c>
      <c r="B406">
        <v>45879</v>
      </c>
      <c r="C406">
        <v>0</v>
      </c>
      <c r="D406">
        <v>0</v>
      </c>
      <c r="E406" t="s">
        <v>349</v>
      </c>
      <c r="F406">
        <v>2025</v>
      </c>
    </row>
    <row r="407" spans="1:6" x14ac:dyDescent="0.25">
      <c r="A407">
        <v>3</v>
      </c>
      <c r="B407">
        <v>45880</v>
      </c>
      <c r="C407">
        <v>4.8620056275661101E-4</v>
      </c>
      <c r="D407">
        <v>-3.0524678914933801E-3</v>
      </c>
      <c r="E407" t="s">
        <v>349</v>
      </c>
      <c r="F407">
        <v>2025</v>
      </c>
    </row>
    <row r="408" spans="1:6" x14ac:dyDescent="0.25">
      <c r="A408">
        <v>3</v>
      </c>
      <c r="B408">
        <v>45881</v>
      </c>
      <c r="C408">
        <v>1.4707805611745599E-2</v>
      </c>
      <c r="D408">
        <v>1.16695551704218E-2</v>
      </c>
      <c r="E408" t="s">
        <v>349</v>
      </c>
      <c r="F408">
        <v>2025</v>
      </c>
    </row>
    <row r="409" spans="1:6" x14ac:dyDescent="0.25">
      <c r="A409">
        <v>3</v>
      </c>
      <c r="B409">
        <v>45882</v>
      </c>
      <c r="C409">
        <v>1.9626285211871201E-3</v>
      </c>
      <c r="D409">
        <v>3.7117405207858201E-3</v>
      </c>
      <c r="E409" t="s">
        <v>349</v>
      </c>
      <c r="F409">
        <v>2025</v>
      </c>
    </row>
    <row r="410" spans="1:6" x14ac:dyDescent="0.25">
      <c r="A410">
        <v>3</v>
      </c>
      <c r="B410">
        <v>45883</v>
      </c>
      <c r="C410">
        <v>-9.7099566372627099E-4</v>
      </c>
      <c r="D410">
        <v>-4.5514024008652698E-4</v>
      </c>
      <c r="E410" t="s">
        <v>349</v>
      </c>
      <c r="F410">
        <v>2025</v>
      </c>
    </row>
    <row r="411" spans="1:6" x14ac:dyDescent="0.25">
      <c r="A411">
        <v>3</v>
      </c>
      <c r="B411">
        <v>45884</v>
      </c>
      <c r="C411">
        <v>-1.9665812227599401E-3</v>
      </c>
      <c r="D411">
        <v>1.7075530764420999E-4</v>
      </c>
      <c r="E411" t="s">
        <v>349</v>
      </c>
      <c r="F411">
        <v>2025</v>
      </c>
    </row>
    <row r="412" spans="1:6" x14ac:dyDescent="0.25">
      <c r="A412">
        <v>3</v>
      </c>
      <c r="B412">
        <v>45885</v>
      </c>
      <c r="C412">
        <v>0</v>
      </c>
      <c r="D412">
        <v>0</v>
      </c>
      <c r="E412" t="s">
        <v>349</v>
      </c>
      <c r="F412">
        <v>2025</v>
      </c>
    </row>
    <row r="413" spans="1:6" x14ac:dyDescent="0.25">
      <c r="A413">
        <v>3</v>
      </c>
      <c r="B413">
        <v>45886</v>
      </c>
      <c r="C413">
        <v>0</v>
      </c>
      <c r="D413">
        <v>0</v>
      </c>
      <c r="E413" t="s">
        <v>349</v>
      </c>
      <c r="F413">
        <v>2025</v>
      </c>
    </row>
    <row r="414" spans="1:6" x14ac:dyDescent="0.25">
      <c r="A414">
        <v>3</v>
      </c>
      <c r="B414">
        <v>45887</v>
      </c>
      <c r="C414">
        <v>-6.1857882811522402E-4</v>
      </c>
      <c r="D414">
        <v>-1.1381743683132101E-3</v>
      </c>
      <c r="E414" t="s">
        <v>349</v>
      </c>
      <c r="F414">
        <v>2025</v>
      </c>
    </row>
    <row r="415" spans="1:6" x14ac:dyDescent="0.25">
      <c r="A415">
        <v>3</v>
      </c>
      <c r="B415">
        <v>45888</v>
      </c>
      <c r="C415">
        <v>-1.28854192577035E-2</v>
      </c>
      <c r="D415">
        <v>-4.1590701914312501E-3</v>
      </c>
      <c r="E415" t="s">
        <v>349</v>
      </c>
      <c r="F415">
        <v>2025</v>
      </c>
    </row>
    <row r="416" spans="1:6" x14ac:dyDescent="0.25">
      <c r="A416">
        <v>3</v>
      </c>
      <c r="B416">
        <v>45889</v>
      </c>
      <c r="C416">
        <v>-3.41859540958789E-3</v>
      </c>
      <c r="D416">
        <v>-6.8653813147212495E-4</v>
      </c>
      <c r="E416" t="s">
        <v>349</v>
      </c>
      <c r="F416">
        <v>2025</v>
      </c>
    </row>
    <row r="417" spans="1:6" x14ac:dyDescent="0.25">
      <c r="A417">
        <v>3</v>
      </c>
      <c r="B417">
        <v>45890</v>
      </c>
      <c r="C417">
        <v>-4.3770001530212301E-3</v>
      </c>
      <c r="D417">
        <v>-4.0648079235128297E-3</v>
      </c>
      <c r="E417" t="s">
        <v>349</v>
      </c>
      <c r="F417">
        <v>2025</v>
      </c>
    </row>
    <row r="418" spans="1:6" x14ac:dyDescent="0.25">
      <c r="A418">
        <v>3</v>
      </c>
      <c r="B418">
        <v>45891</v>
      </c>
      <c r="C418">
        <v>1.6887475843402801E-2</v>
      </c>
      <c r="D418">
        <v>1.4945964589560899E-2</v>
      </c>
      <c r="E418" t="s">
        <v>349</v>
      </c>
      <c r="F418">
        <v>2025</v>
      </c>
    </row>
    <row r="419" spans="1:6" x14ac:dyDescent="0.25">
      <c r="A419">
        <v>3</v>
      </c>
      <c r="B419">
        <v>45892</v>
      </c>
      <c r="C419">
        <v>0</v>
      </c>
      <c r="D419">
        <v>0</v>
      </c>
      <c r="E419" t="s">
        <v>349</v>
      </c>
      <c r="F419">
        <v>2025</v>
      </c>
    </row>
    <row r="420" spans="1:6" x14ac:dyDescent="0.25">
      <c r="A420">
        <v>3</v>
      </c>
      <c r="B420">
        <v>45893</v>
      </c>
      <c r="C420">
        <v>0</v>
      </c>
      <c r="D420">
        <v>0</v>
      </c>
      <c r="E420" t="s">
        <v>349</v>
      </c>
      <c r="F420">
        <v>2025</v>
      </c>
    </row>
    <row r="421" spans="1:6" x14ac:dyDescent="0.25">
      <c r="A421">
        <v>3</v>
      </c>
      <c r="B421">
        <v>45894</v>
      </c>
      <c r="C421">
        <v>-4.6855596119564904E-3</v>
      </c>
      <c r="D421">
        <v>-6.0602628001812401E-3</v>
      </c>
      <c r="E421" t="s">
        <v>349</v>
      </c>
      <c r="F421">
        <v>2025</v>
      </c>
    </row>
    <row r="422" spans="1:6" x14ac:dyDescent="0.25">
      <c r="A422">
        <v>3</v>
      </c>
      <c r="B422">
        <v>45895</v>
      </c>
      <c r="C422">
        <v>4.1659955657900004E-3</v>
      </c>
      <c r="D422">
        <v>2.5642486751380499E-3</v>
      </c>
      <c r="E422" t="s">
        <v>349</v>
      </c>
      <c r="F422">
        <v>2025</v>
      </c>
    </row>
    <row r="423" spans="1:6" x14ac:dyDescent="0.25">
      <c r="A423">
        <v>3</v>
      </c>
      <c r="B423">
        <v>45896</v>
      </c>
      <c r="C423">
        <v>-8.3480565351346E-5</v>
      </c>
      <c r="D423">
        <v>1.5346140729794999E-3</v>
      </c>
      <c r="E423" t="s">
        <v>349</v>
      </c>
      <c r="F423">
        <v>2025</v>
      </c>
    </row>
    <row r="424" spans="1:6" x14ac:dyDescent="0.25">
      <c r="A424">
        <v>3</v>
      </c>
      <c r="B424">
        <v>45897</v>
      </c>
      <c r="C424">
        <v>5.93296645737085E-3</v>
      </c>
      <c r="D424">
        <v>4.0292832415866897E-3</v>
      </c>
      <c r="E424" t="s">
        <v>349</v>
      </c>
      <c r="F424">
        <v>2025</v>
      </c>
    </row>
    <row r="425" spans="1:6" x14ac:dyDescent="0.25">
      <c r="A425">
        <v>3</v>
      </c>
      <c r="B425">
        <v>45898</v>
      </c>
      <c r="C425">
        <v>-1.2523926759896E-2</v>
      </c>
      <c r="D425">
        <v>-6.2440085914536904E-3</v>
      </c>
      <c r="E425" t="s">
        <v>349</v>
      </c>
      <c r="F425">
        <v>2025</v>
      </c>
    </row>
    <row r="426" spans="1:6" x14ac:dyDescent="0.25">
      <c r="A426">
        <v>3</v>
      </c>
      <c r="B426">
        <v>45899</v>
      </c>
      <c r="C426">
        <v>0</v>
      </c>
      <c r="D426">
        <v>0</v>
      </c>
      <c r="E426" t="s">
        <v>349</v>
      </c>
      <c r="F426">
        <v>2025</v>
      </c>
    </row>
    <row r="427" spans="1:6" x14ac:dyDescent="0.25">
      <c r="A427">
        <v>3</v>
      </c>
      <c r="B427">
        <v>45900</v>
      </c>
      <c r="C427">
        <v>0</v>
      </c>
      <c r="D427">
        <v>0</v>
      </c>
      <c r="E427" t="s">
        <v>349</v>
      </c>
      <c r="F427">
        <v>2025</v>
      </c>
    </row>
    <row r="428" spans="1:6" x14ac:dyDescent="0.25">
      <c r="A428">
        <v>3</v>
      </c>
      <c r="B428">
        <v>45901</v>
      </c>
      <c r="C428">
        <v>0</v>
      </c>
      <c r="D428">
        <v>0</v>
      </c>
      <c r="E428" t="s">
        <v>351</v>
      </c>
      <c r="F428">
        <v>2025</v>
      </c>
    </row>
    <row r="429" spans="1:6" x14ac:dyDescent="0.25">
      <c r="A429">
        <v>3</v>
      </c>
      <c r="B429">
        <v>45902</v>
      </c>
      <c r="C429">
        <v>-5.2911591923413496E-3</v>
      </c>
      <c r="D429">
        <v>-7.1968135198237099E-3</v>
      </c>
      <c r="E429" t="s">
        <v>351</v>
      </c>
      <c r="F429">
        <v>2025</v>
      </c>
    </row>
    <row r="430" spans="1:6" x14ac:dyDescent="0.25">
      <c r="A430">
        <v>3</v>
      </c>
      <c r="B430">
        <v>45903</v>
      </c>
      <c r="C430">
        <v>4.5874788339128597E-4</v>
      </c>
      <c r="D430">
        <v>3.72386135777703E-3</v>
      </c>
      <c r="E430" t="s">
        <v>351</v>
      </c>
      <c r="F430">
        <v>2025</v>
      </c>
    </row>
    <row r="431" spans="1:6" x14ac:dyDescent="0.25">
      <c r="A431">
        <v>3</v>
      </c>
      <c r="B431">
        <v>45904</v>
      </c>
      <c r="C431">
        <v>5.9746355207799303E-3</v>
      </c>
      <c r="D431">
        <v>8.3333333333333003E-3</v>
      </c>
      <c r="E431" t="s">
        <v>351</v>
      </c>
      <c r="F431">
        <v>2025</v>
      </c>
    </row>
    <row r="432" spans="1:6" x14ac:dyDescent="0.25">
      <c r="A432">
        <v>3</v>
      </c>
      <c r="B432">
        <v>45905</v>
      </c>
      <c r="C432">
        <v>-3.08033538284314E-3</v>
      </c>
      <c r="D432">
        <v>-1.3019359221102501E-3</v>
      </c>
      <c r="E432" t="s">
        <v>351</v>
      </c>
      <c r="F432">
        <v>2025</v>
      </c>
    </row>
    <row r="433" spans="1:6" x14ac:dyDescent="0.25">
      <c r="A433">
        <v>3</v>
      </c>
      <c r="B433">
        <v>45906</v>
      </c>
      <c r="C433">
        <v>0</v>
      </c>
      <c r="D433">
        <v>0</v>
      </c>
      <c r="E433" t="s">
        <v>351</v>
      </c>
      <c r="F433">
        <v>2025</v>
      </c>
    </row>
    <row r="434" spans="1:6" x14ac:dyDescent="0.25">
      <c r="A434">
        <v>3</v>
      </c>
      <c r="B434">
        <v>45907</v>
      </c>
      <c r="C434">
        <v>0</v>
      </c>
      <c r="D434">
        <v>0</v>
      </c>
      <c r="E434" t="s">
        <v>351</v>
      </c>
      <c r="F434">
        <v>2025</v>
      </c>
    </row>
    <row r="435" spans="1:6" x14ac:dyDescent="0.25">
      <c r="A435">
        <v>3</v>
      </c>
      <c r="B435">
        <v>45908</v>
      </c>
      <c r="C435">
        <v>6.6233431294056002E-3</v>
      </c>
      <c r="D435">
        <v>4.70441534886357E-3</v>
      </c>
      <c r="E435" t="s">
        <v>351</v>
      </c>
      <c r="F435">
        <v>2025</v>
      </c>
    </row>
    <row r="436" spans="1:6" x14ac:dyDescent="0.25">
      <c r="A436">
        <v>3</v>
      </c>
      <c r="B436">
        <v>45909</v>
      </c>
      <c r="C436">
        <v>5.6193092965650697E-3</v>
      </c>
      <c r="D436">
        <v>1.6924292000450899E-3</v>
      </c>
      <c r="E436" t="s">
        <v>351</v>
      </c>
      <c r="F436">
        <v>2025</v>
      </c>
    </row>
    <row r="437" spans="1:6" x14ac:dyDescent="0.25">
      <c r="A437">
        <v>3</v>
      </c>
      <c r="B437">
        <v>45910</v>
      </c>
      <c r="C437">
        <v>7.5079189511306798E-4</v>
      </c>
      <c r="D437">
        <v>1.68956972291068E-3</v>
      </c>
      <c r="E437" t="s">
        <v>351</v>
      </c>
      <c r="F437">
        <v>2025</v>
      </c>
    </row>
    <row r="438" spans="1:6" x14ac:dyDescent="0.25">
      <c r="A438">
        <v>3</v>
      </c>
      <c r="B438">
        <v>45911</v>
      </c>
      <c r="C438">
        <v>8.2067072978377897E-3</v>
      </c>
      <c r="D438">
        <v>9.0520634206678902E-3</v>
      </c>
      <c r="E438" t="s">
        <v>351</v>
      </c>
      <c r="F438">
        <v>2025</v>
      </c>
    </row>
    <row r="439" spans="1:6" x14ac:dyDescent="0.25">
      <c r="A439">
        <v>3</v>
      </c>
      <c r="B439">
        <v>45912</v>
      </c>
      <c r="C439">
        <v>2.9471968175953699E-3</v>
      </c>
      <c r="D439">
        <v>-1.22583161531176E-3</v>
      </c>
      <c r="E439" t="s">
        <v>351</v>
      </c>
      <c r="F439">
        <v>2025</v>
      </c>
    </row>
    <row r="440" spans="1:6" x14ac:dyDescent="0.25">
      <c r="A440">
        <v>3</v>
      </c>
      <c r="B440">
        <v>45913</v>
      </c>
      <c r="C440">
        <v>0</v>
      </c>
      <c r="D440">
        <v>0</v>
      </c>
      <c r="E440" t="s">
        <v>351</v>
      </c>
      <c r="F440">
        <v>2025</v>
      </c>
    </row>
    <row r="441" spans="1:6" x14ac:dyDescent="0.25">
      <c r="A441">
        <v>3</v>
      </c>
      <c r="B441">
        <v>45914</v>
      </c>
      <c r="C441">
        <v>0</v>
      </c>
      <c r="D441">
        <v>0</v>
      </c>
      <c r="E441" t="s">
        <v>351</v>
      </c>
      <c r="F441">
        <v>2025</v>
      </c>
    </row>
    <row r="442" spans="1:6" x14ac:dyDescent="0.25">
      <c r="A442">
        <v>3</v>
      </c>
      <c r="B442">
        <v>45915</v>
      </c>
      <c r="C442">
        <v>6.8139405881910697E-3</v>
      </c>
      <c r="D442">
        <v>5.1882845188284702E-3</v>
      </c>
      <c r="E442" t="s">
        <v>351</v>
      </c>
      <c r="F442">
        <v>2025</v>
      </c>
    </row>
    <row r="443" spans="1:6" x14ac:dyDescent="0.25">
      <c r="A443">
        <v>3</v>
      </c>
      <c r="B443">
        <v>45916</v>
      </c>
      <c r="C443">
        <v>3.3010814463068101E-3</v>
      </c>
      <c r="D443">
        <v>-9.4350094350104097E-4</v>
      </c>
      <c r="E443" t="s">
        <v>351</v>
      </c>
      <c r="F443">
        <v>2025</v>
      </c>
    </row>
    <row r="444" spans="1:6" x14ac:dyDescent="0.25">
      <c r="A444">
        <v>3</v>
      </c>
      <c r="B444">
        <v>45917</v>
      </c>
      <c r="C444">
        <v>-3.7227729716962101E-3</v>
      </c>
      <c r="D444">
        <v>-2.4998611188267201E-3</v>
      </c>
      <c r="E444" t="s">
        <v>351</v>
      </c>
      <c r="F444">
        <v>2025</v>
      </c>
    </row>
    <row r="445" spans="1:6" x14ac:dyDescent="0.25">
      <c r="A445">
        <v>3</v>
      </c>
      <c r="B445">
        <v>45918</v>
      </c>
      <c r="C445">
        <v>1.2289247896488701E-2</v>
      </c>
      <c r="D445">
        <v>5.2350189351748604E-3</v>
      </c>
      <c r="E445" t="s">
        <v>351</v>
      </c>
      <c r="F445">
        <v>2025</v>
      </c>
    </row>
    <row r="446" spans="1:6" x14ac:dyDescent="0.25">
      <c r="A446">
        <v>3</v>
      </c>
      <c r="B446">
        <v>45919</v>
      </c>
      <c r="C446">
        <v>4.5177546916102002E-3</v>
      </c>
      <c r="D446">
        <v>2.9916897506925299E-3</v>
      </c>
      <c r="E446" t="s">
        <v>351</v>
      </c>
      <c r="F446">
        <v>2025</v>
      </c>
    </row>
    <row r="447" spans="1:6" x14ac:dyDescent="0.25">
      <c r="A447">
        <v>3</v>
      </c>
      <c r="B447">
        <v>45920</v>
      </c>
      <c r="C447">
        <v>0</v>
      </c>
      <c r="D447">
        <v>0</v>
      </c>
      <c r="E447" t="s">
        <v>351</v>
      </c>
      <c r="F447">
        <v>2025</v>
      </c>
    </row>
    <row r="448" spans="1:6" x14ac:dyDescent="0.25">
      <c r="A448">
        <v>3</v>
      </c>
      <c r="B448">
        <v>45921</v>
      </c>
      <c r="C448">
        <v>0</v>
      </c>
      <c r="D448">
        <v>0</v>
      </c>
      <c r="E448" t="s">
        <v>351</v>
      </c>
      <c r="F448">
        <v>2025</v>
      </c>
    </row>
    <row r="449" spans="1:6" x14ac:dyDescent="0.25">
      <c r="A449">
        <v>3</v>
      </c>
      <c r="B449">
        <v>45922</v>
      </c>
      <c r="C449">
        <v>-6.7805778063134703E-4</v>
      </c>
      <c r="D449">
        <v>3.70083959346013E-3</v>
      </c>
      <c r="E449" t="s">
        <v>351</v>
      </c>
      <c r="F449">
        <v>2025</v>
      </c>
    </row>
    <row r="450" spans="1:6" x14ac:dyDescent="0.25">
      <c r="A450">
        <v>3</v>
      </c>
      <c r="B450">
        <v>45923</v>
      </c>
      <c r="C450">
        <v>-3.4455907013324302E-3</v>
      </c>
      <c r="D450">
        <v>-4.0724230917396102E-3</v>
      </c>
      <c r="E450" t="s">
        <v>351</v>
      </c>
      <c r="F450">
        <v>2025</v>
      </c>
    </row>
    <row r="451" spans="1:6" x14ac:dyDescent="0.25">
      <c r="A451">
        <v>3</v>
      </c>
      <c r="B451">
        <v>45924</v>
      </c>
      <c r="C451">
        <v>-7.0492512072956003E-3</v>
      </c>
      <c r="D451">
        <v>-4.4758799801072301E-3</v>
      </c>
      <c r="E451" t="s">
        <v>351</v>
      </c>
      <c r="F451">
        <v>2025</v>
      </c>
    </row>
    <row r="452" spans="1:6" x14ac:dyDescent="0.25">
      <c r="A452">
        <v>3</v>
      </c>
      <c r="B452">
        <v>45925</v>
      </c>
      <c r="C452">
        <v>-1.3496462484497999E-3</v>
      </c>
      <c r="D452">
        <v>-4.55150976909413E-3</v>
      </c>
      <c r="E452" t="s">
        <v>351</v>
      </c>
      <c r="F452">
        <v>2025</v>
      </c>
    </row>
    <row r="453" spans="1:6" x14ac:dyDescent="0.25">
      <c r="A453">
        <v>3</v>
      </c>
      <c r="B453">
        <v>45926</v>
      </c>
      <c r="C453">
        <v>4.2699352598334402E-3</v>
      </c>
      <c r="D453">
        <v>5.3529608564737404E-3</v>
      </c>
      <c r="E453" t="s">
        <v>351</v>
      </c>
      <c r="F453">
        <v>2025</v>
      </c>
    </row>
    <row r="454" spans="1:6" x14ac:dyDescent="0.25">
      <c r="A454">
        <v>3</v>
      </c>
      <c r="B454">
        <v>45927</v>
      </c>
      <c r="C454">
        <v>0</v>
      </c>
      <c r="D454">
        <v>0</v>
      </c>
      <c r="E454" t="s">
        <v>351</v>
      </c>
      <c r="F454">
        <v>2025</v>
      </c>
    </row>
    <row r="455" spans="1:6" x14ac:dyDescent="0.25">
      <c r="A455">
        <v>3</v>
      </c>
      <c r="B455">
        <v>45928</v>
      </c>
      <c r="C455">
        <v>0</v>
      </c>
      <c r="D455">
        <v>0</v>
      </c>
      <c r="E455" t="s">
        <v>351</v>
      </c>
      <c r="F455">
        <v>2025</v>
      </c>
    </row>
    <row r="456" spans="1:6" x14ac:dyDescent="0.25">
      <c r="A456">
        <v>3</v>
      </c>
      <c r="B456">
        <v>45929</v>
      </c>
      <c r="C456">
        <v>3.9317553559803401E-3</v>
      </c>
      <c r="D456">
        <v>3.4941763727121002E-3</v>
      </c>
      <c r="E456" t="s">
        <v>351</v>
      </c>
      <c r="F456">
        <v>2025</v>
      </c>
    </row>
    <row r="457" spans="1:6" x14ac:dyDescent="0.25">
      <c r="A457">
        <v>3</v>
      </c>
      <c r="B457">
        <v>45930</v>
      </c>
      <c r="C457">
        <v>1.4952869959443699E-3</v>
      </c>
      <c r="D457">
        <v>3.4820096169789799E-3</v>
      </c>
      <c r="E457" t="s">
        <v>351</v>
      </c>
      <c r="F457">
        <v>2025</v>
      </c>
    </row>
    <row r="458" spans="1:6" x14ac:dyDescent="0.25">
      <c r="A458">
        <v>4</v>
      </c>
      <c r="B458">
        <v>45931</v>
      </c>
      <c r="C458">
        <v>1.58358073640574E-3</v>
      </c>
      <c r="D458">
        <v>4.4062568847764699E-3</v>
      </c>
      <c r="E458" t="s">
        <v>353</v>
      </c>
      <c r="F458">
        <v>2025</v>
      </c>
    </row>
    <row r="459" spans="1:6" x14ac:dyDescent="0.25">
      <c r="A459">
        <v>4</v>
      </c>
      <c r="B459">
        <v>45932</v>
      </c>
      <c r="C459">
        <v>5.4822627063564298E-3</v>
      </c>
      <c r="D459">
        <v>1.53542443518306E-3</v>
      </c>
      <c r="E459" t="s">
        <v>353</v>
      </c>
      <c r="F459">
        <v>2025</v>
      </c>
    </row>
    <row r="460" spans="1:6" x14ac:dyDescent="0.25">
      <c r="A460">
        <v>4</v>
      </c>
      <c r="B460">
        <v>45933</v>
      </c>
      <c r="C460">
        <v>-3.7694912268457798E-3</v>
      </c>
      <c r="D460">
        <v>2.02584318878674E-3</v>
      </c>
      <c r="E460" t="s">
        <v>353</v>
      </c>
      <c r="F460">
        <v>2025</v>
      </c>
    </row>
    <row r="461" spans="1:6" x14ac:dyDescent="0.25">
      <c r="A461">
        <v>4</v>
      </c>
      <c r="B461">
        <v>45934</v>
      </c>
      <c r="C461">
        <v>0</v>
      </c>
      <c r="D461">
        <v>0</v>
      </c>
      <c r="E461" t="s">
        <v>353</v>
      </c>
      <c r="F461">
        <v>2025</v>
      </c>
    </row>
    <row r="462" spans="1:6" x14ac:dyDescent="0.25">
      <c r="A462">
        <v>4</v>
      </c>
      <c r="B462">
        <v>45935</v>
      </c>
      <c r="C462">
        <v>0</v>
      </c>
      <c r="D462">
        <v>0</v>
      </c>
      <c r="E462" t="s">
        <v>353</v>
      </c>
      <c r="F462">
        <v>2025</v>
      </c>
    </row>
    <row r="463" spans="1:6" x14ac:dyDescent="0.25">
      <c r="A463">
        <v>4</v>
      </c>
      <c r="B463">
        <v>45936</v>
      </c>
      <c r="C463">
        <v>1.0298147924302101E-2</v>
      </c>
      <c r="D463">
        <v>3.2785093710727699E-3</v>
      </c>
      <c r="E463" t="s">
        <v>353</v>
      </c>
      <c r="F463">
        <v>2025</v>
      </c>
    </row>
    <row r="464" spans="1:6" x14ac:dyDescent="0.25">
      <c r="A464">
        <v>4</v>
      </c>
      <c r="B464">
        <v>45937</v>
      </c>
      <c r="C464">
        <v>-2.8839534500082501E-3</v>
      </c>
      <c r="D464">
        <v>-5.3918631882795597E-3</v>
      </c>
      <c r="E464" t="s">
        <v>353</v>
      </c>
      <c r="F464">
        <v>2025</v>
      </c>
    </row>
    <row r="465" spans="1:6" x14ac:dyDescent="0.25">
      <c r="A465">
        <v>4</v>
      </c>
      <c r="B465">
        <v>45938</v>
      </c>
      <c r="C465">
        <v>7.8256989633456193E-3</v>
      </c>
      <c r="D465">
        <v>4.9282663454166499E-3</v>
      </c>
      <c r="E465" t="s">
        <v>353</v>
      </c>
      <c r="F465">
        <v>2025</v>
      </c>
    </row>
    <row r="466" spans="1:6" x14ac:dyDescent="0.25">
      <c r="A466">
        <v>4</v>
      </c>
      <c r="B466">
        <v>45939</v>
      </c>
      <c r="C466">
        <v>-8.2790021288965399E-3</v>
      </c>
      <c r="D466">
        <v>-4.6316477768092402E-3</v>
      </c>
      <c r="E466" t="s">
        <v>353</v>
      </c>
      <c r="F466">
        <v>2025</v>
      </c>
    </row>
    <row r="467" spans="1:6" x14ac:dyDescent="0.25">
      <c r="A467">
        <v>4</v>
      </c>
      <c r="B467">
        <v>45940</v>
      </c>
      <c r="C467">
        <v>-2.6141515350142201E-2</v>
      </c>
      <c r="D467">
        <v>-2.4470356380358001E-2</v>
      </c>
      <c r="E467" t="s">
        <v>353</v>
      </c>
      <c r="F467">
        <v>2025</v>
      </c>
    </row>
    <row r="468" spans="1:6" x14ac:dyDescent="0.25">
      <c r="A468">
        <v>4</v>
      </c>
      <c r="B468">
        <v>45941</v>
      </c>
      <c r="C468">
        <v>0</v>
      </c>
      <c r="D468">
        <v>0</v>
      </c>
      <c r="E468" t="s">
        <v>353</v>
      </c>
      <c r="F468">
        <v>2025</v>
      </c>
    </row>
    <row r="469" spans="1:6" x14ac:dyDescent="0.25">
      <c r="A469">
        <v>4</v>
      </c>
      <c r="B469">
        <v>45942</v>
      </c>
      <c r="C469">
        <v>0</v>
      </c>
      <c r="D469">
        <v>0</v>
      </c>
      <c r="E469" t="s">
        <v>353</v>
      </c>
      <c r="F469">
        <v>2025</v>
      </c>
    </row>
    <row r="470" spans="1:6" x14ac:dyDescent="0.25">
      <c r="A470">
        <v>4</v>
      </c>
      <c r="B470">
        <v>45943</v>
      </c>
      <c r="C470">
        <v>1.23209176448849E-2</v>
      </c>
      <c r="D470">
        <v>1.37485970819304E-2</v>
      </c>
      <c r="E470" t="s">
        <v>353</v>
      </c>
      <c r="F470">
        <v>2025</v>
      </c>
    </row>
    <row r="471" spans="1:6" x14ac:dyDescent="0.25">
      <c r="A471">
        <v>4</v>
      </c>
      <c r="B471">
        <v>45944</v>
      </c>
      <c r="C471">
        <v>1.0496981766403601E-3</v>
      </c>
      <c r="D471">
        <v>6.6426792139506795E-4</v>
      </c>
      <c r="E471" t="s">
        <v>353</v>
      </c>
      <c r="F471">
        <v>2025</v>
      </c>
    </row>
    <row r="472" spans="1:6" x14ac:dyDescent="0.25">
      <c r="A472">
        <v>4</v>
      </c>
      <c r="B472">
        <v>45945</v>
      </c>
      <c r="C472">
        <v>-1.1015529763943599E-3</v>
      </c>
      <c r="D472">
        <v>4.09359960170375E-3</v>
      </c>
      <c r="E472" t="s">
        <v>353</v>
      </c>
      <c r="F472">
        <v>2025</v>
      </c>
    </row>
    <row r="473" spans="1:6" x14ac:dyDescent="0.25">
      <c r="A473">
        <v>4</v>
      </c>
      <c r="B473">
        <v>45946</v>
      </c>
      <c r="C473">
        <v>-8.7284251315388195E-3</v>
      </c>
      <c r="D473">
        <v>-3.4708831469339998E-3</v>
      </c>
      <c r="E473" t="s">
        <v>353</v>
      </c>
      <c r="F473">
        <v>2025</v>
      </c>
    </row>
    <row r="474" spans="1:6" x14ac:dyDescent="0.25">
      <c r="A474">
        <v>4</v>
      </c>
      <c r="B474">
        <v>45947</v>
      </c>
      <c r="C474">
        <v>-2.1146752168980099E-3</v>
      </c>
      <c r="D474">
        <v>4.20168067226889E-3</v>
      </c>
      <c r="E474" t="s">
        <v>353</v>
      </c>
      <c r="F474">
        <v>2025</v>
      </c>
    </row>
    <row r="475" spans="1:6" x14ac:dyDescent="0.25">
      <c r="A475">
        <v>4</v>
      </c>
      <c r="B475">
        <v>45948</v>
      </c>
      <c r="C475">
        <v>0</v>
      </c>
      <c r="D475">
        <v>0</v>
      </c>
      <c r="E475" t="s">
        <v>353</v>
      </c>
      <c r="F475">
        <v>2025</v>
      </c>
    </row>
    <row r="476" spans="1:6" x14ac:dyDescent="0.25">
      <c r="A476">
        <v>4</v>
      </c>
      <c r="B476">
        <v>45949</v>
      </c>
      <c r="C476">
        <v>0</v>
      </c>
      <c r="D476">
        <v>0</v>
      </c>
      <c r="E476" t="s">
        <v>353</v>
      </c>
      <c r="F476">
        <v>2025</v>
      </c>
    </row>
    <row r="477" spans="1:6" x14ac:dyDescent="0.25">
      <c r="A477">
        <v>4</v>
      </c>
      <c r="B477">
        <v>45950</v>
      </c>
      <c r="C477">
        <v>9.2825193650614094E-3</v>
      </c>
      <c r="D477">
        <v>8.8086324598106707E-3</v>
      </c>
      <c r="E477" t="s">
        <v>353</v>
      </c>
      <c r="F477">
        <v>2025</v>
      </c>
    </row>
    <row r="478" spans="1:6" x14ac:dyDescent="0.25">
      <c r="A478">
        <v>4</v>
      </c>
      <c r="B478">
        <v>45951</v>
      </c>
      <c r="C478">
        <v>-1.0101000841762401E-3</v>
      </c>
      <c r="D478">
        <v>-2.07378301680849E-3</v>
      </c>
      <c r="E478" t="s">
        <v>353</v>
      </c>
      <c r="F478">
        <v>2025</v>
      </c>
    </row>
    <row r="479" spans="1:6" x14ac:dyDescent="0.25">
      <c r="A479">
        <v>4</v>
      </c>
      <c r="B479">
        <v>45952</v>
      </c>
      <c r="C479">
        <v>-7.1044819566462598E-3</v>
      </c>
      <c r="D479">
        <v>-4.7577381603413097E-3</v>
      </c>
      <c r="E479" t="s">
        <v>353</v>
      </c>
      <c r="F479">
        <v>2025</v>
      </c>
    </row>
    <row r="480" spans="1:6" x14ac:dyDescent="0.25">
      <c r="A480">
        <v>4</v>
      </c>
      <c r="B480">
        <v>45953</v>
      </c>
      <c r="C480">
        <v>5.54116448112429E-3</v>
      </c>
      <c r="D480">
        <v>6.4289246661903797E-3</v>
      </c>
      <c r="E480" t="s">
        <v>353</v>
      </c>
      <c r="F480">
        <v>2025</v>
      </c>
    </row>
    <row r="481" spans="1:6" x14ac:dyDescent="0.25">
      <c r="A481">
        <v>4</v>
      </c>
      <c r="B481">
        <v>45954</v>
      </c>
      <c r="C481">
        <v>6.4438088936347197E-3</v>
      </c>
      <c r="D481">
        <v>6.1694693164446902E-3</v>
      </c>
      <c r="E481" t="s">
        <v>353</v>
      </c>
      <c r="F481">
        <v>2025</v>
      </c>
    </row>
    <row r="482" spans="1:6" x14ac:dyDescent="0.25">
      <c r="A482">
        <v>4</v>
      </c>
      <c r="B482">
        <v>45955</v>
      </c>
      <c r="C482">
        <v>0</v>
      </c>
      <c r="D482">
        <v>0</v>
      </c>
      <c r="E482" t="s">
        <v>353</v>
      </c>
      <c r="F482">
        <v>2025</v>
      </c>
    </row>
    <row r="483" spans="1:6" x14ac:dyDescent="0.25">
      <c r="A483">
        <v>4</v>
      </c>
      <c r="B483">
        <v>45956</v>
      </c>
      <c r="C483">
        <v>0</v>
      </c>
      <c r="D483">
        <v>0</v>
      </c>
      <c r="E483" t="s">
        <v>353</v>
      </c>
      <c r="F483">
        <v>2025</v>
      </c>
    </row>
    <row r="484" spans="1:6" x14ac:dyDescent="0.25">
      <c r="A484">
        <v>4</v>
      </c>
      <c r="B484">
        <v>45957</v>
      </c>
      <c r="C484">
        <v>1.08035198175307E-2</v>
      </c>
      <c r="D484">
        <v>1.0689673883553101E-2</v>
      </c>
      <c r="E484" t="s">
        <v>353</v>
      </c>
      <c r="F484">
        <v>2025</v>
      </c>
    </row>
    <row r="485" spans="1:6" x14ac:dyDescent="0.25">
      <c r="A485">
        <v>4</v>
      </c>
      <c r="B485">
        <v>45958</v>
      </c>
      <c r="C485">
        <v>-1.1840407754337701E-3</v>
      </c>
      <c r="D485">
        <v>2.04015891764198E-3</v>
      </c>
      <c r="E485" t="s">
        <v>353</v>
      </c>
      <c r="F485">
        <v>2025</v>
      </c>
    </row>
    <row r="486" spans="1:6" x14ac:dyDescent="0.25">
      <c r="A486">
        <v>4</v>
      </c>
      <c r="B486">
        <v>45959</v>
      </c>
      <c r="C486">
        <v>-1.56134478744623E-2</v>
      </c>
      <c r="D486">
        <v>-2.3039005572222898E-3</v>
      </c>
      <c r="E486" t="s">
        <v>353</v>
      </c>
      <c r="F486">
        <v>2025</v>
      </c>
    </row>
    <row r="487" spans="1:6" x14ac:dyDescent="0.25">
      <c r="A487">
        <v>4</v>
      </c>
      <c r="B487">
        <v>45960</v>
      </c>
      <c r="C487">
        <v>2.0668390027911402E-3</v>
      </c>
      <c r="D487">
        <v>-8.3776381504753195E-3</v>
      </c>
      <c r="E487" t="s">
        <v>353</v>
      </c>
      <c r="F487">
        <v>2025</v>
      </c>
    </row>
    <row r="488" spans="1:6" x14ac:dyDescent="0.25">
      <c r="A488">
        <v>4</v>
      </c>
      <c r="B488">
        <v>45961</v>
      </c>
      <c r="C488">
        <v>6.6225117850646801E-3</v>
      </c>
      <c r="D488">
        <v>2.0579474681829998E-3</v>
      </c>
      <c r="E488" t="s">
        <v>353</v>
      </c>
      <c r="F488">
        <v>2025</v>
      </c>
    </row>
    <row r="489" spans="1:6" x14ac:dyDescent="0.25">
      <c r="A489">
        <v>4</v>
      </c>
      <c r="B489">
        <v>45962</v>
      </c>
      <c r="C489">
        <v>0</v>
      </c>
      <c r="D489">
        <v>0</v>
      </c>
      <c r="E489" t="s">
        <v>355</v>
      </c>
      <c r="F489">
        <v>2025</v>
      </c>
    </row>
    <row r="490" spans="1:6" x14ac:dyDescent="0.25">
      <c r="A490">
        <v>4</v>
      </c>
      <c r="B490">
        <v>45963</v>
      </c>
      <c r="C490">
        <v>0</v>
      </c>
      <c r="D490">
        <v>0</v>
      </c>
      <c r="E490" t="s">
        <v>355</v>
      </c>
      <c r="F490">
        <v>2025</v>
      </c>
    </row>
    <row r="491" spans="1:6" x14ac:dyDescent="0.25">
      <c r="A491">
        <v>4</v>
      </c>
      <c r="B491">
        <v>45964</v>
      </c>
      <c r="C491">
        <v>2.56174059207859E-3</v>
      </c>
      <c r="D491">
        <v>1.7834945684485101E-3</v>
      </c>
      <c r="E491" t="s">
        <v>355</v>
      </c>
      <c r="F491">
        <v>2025</v>
      </c>
    </row>
    <row r="492" spans="1:6" x14ac:dyDescent="0.25">
      <c r="A492">
        <v>4</v>
      </c>
      <c r="B492">
        <v>45965</v>
      </c>
      <c r="C492">
        <v>-1.84765318108197E-2</v>
      </c>
      <c r="D492">
        <v>-1.23003884333189E-2</v>
      </c>
      <c r="E492" t="s">
        <v>355</v>
      </c>
      <c r="F492">
        <v>2025</v>
      </c>
    </row>
    <row r="493" spans="1:6" x14ac:dyDescent="0.25">
      <c r="A493">
        <v>4</v>
      </c>
      <c r="B493">
        <v>45966</v>
      </c>
      <c r="C493">
        <v>3.81669328235534E-3</v>
      </c>
      <c r="D493">
        <v>4.5335372514747601E-3</v>
      </c>
      <c r="E493" t="s">
        <v>355</v>
      </c>
      <c r="F493">
        <v>2025</v>
      </c>
    </row>
    <row r="494" spans="1:6" x14ac:dyDescent="0.25">
      <c r="A494">
        <v>4</v>
      </c>
      <c r="B494">
        <v>45967</v>
      </c>
      <c r="C494">
        <v>-1.25445423029307E-2</v>
      </c>
      <c r="D494">
        <v>-9.4611494752868692E-3</v>
      </c>
      <c r="E494" t="s">
        <v>355</v>
      </c>
      <c r="F494">
        <v>2025</v>
      </c>
    </row>
    <row r="495" spans="1:6" x14ac:dyDescent="0.25">
      <c r="A495">
        <v>4</v>
      </c>
      <c r="B495">
        <v>45968</v>
      </c>
      <c r="C495">
        <v>-1.67120392454367E-4</v>
      </c>
      <c r="D495">
        <v>2.1408574408521299E-3</v>
      </c>
      <c r="E495" t="s">
        <v>355</v>
      </c>
      <c r="F495">
        <v>2025</v>
      </c>
    </row>
    <row r="496" spans="1:6" x14ac:dyDescent="0.25">
      <c r="A496">
        <v>4</v>
      </c>
      <c r="B496">
        <v>45969</v>
      </c>
      <c r="C496">
        <v>0</v>
      </c>
      <c r="D496">
        <v>0</v>
      </c>
      <c r="E496" t="s">
        <v>355</v>
      </c>
      <c r="F496">
        <v>2025</v>
      </c>
    </row>
    <row r="497" spans="1:6" x14ac:dyDescent="0.25">
      <c r="A497">
        <v>4</v>
      </c>
      <c r="B497">
        <v>45970</v>
      </c>
      <c r="C497">
        <v>0</v>
      </c>
      <c r="D497">
        <v>0</v>
      </c>
      <c r="E497" t="s">
        <v>355</v>
      </c>
      <c r="F497">
        <v>2025</v>
      </c>
    </row>
    <row r="498" spans="1:6" x14ac:dyDescent="0.25">
      <c r="A498">
        <v>4</v>
      </c>
      <c r="B498">
        <v>45971</v>
      </c>
      <c r="C498">
        <v>1.5227688444948701E-2</v>
      </c>
      <c r="D498">
        <v>1.42966695880806E-2</v>
      </c>
      <c r="E498" t="s">
        <v>355</v>
      </c>
      <c r="F498">
        <v>2025</v>
      </c>
    </row>
    <row r="499" spans="1:6" x14ac:dyDescent="0.25">
      <c r="A499">
        <v>4</v>
      </c>
      <c r="B499">
        <v>45972</v>
      </c>
      <c r="C499">
        <v>8.7161710865979499E-5</v>
      </c>
      <c r="D499">
        <v>3.1862612734243601E-3</v>
      </c>
      <c r="E499" t="s">
        <v>355</v>
      </c>
      <c r="F499">
        <v>2025</v>
      </c>
    </row>
    <row r="500" spans="1:6" x14ac:dyDescent="0.25">
      <c r="A500">
        <v>4</v>
      </c>
      <c r="B500">
        <v>45973</v>
      </c>
      <c r="C500">
        <v>-8.2801884526473302E-4</v>
      </c>
      <c r="D500">
        <v>2.5839793281654498E-3</v>
      </c>
      <c r="E500" t="s">
        <v>355</v>
      </c>
      <c r="F500">
        <v>2025</v>
      </c>
    </row>
    <row r="501" spans="1:6" x14ac:dyDescent="0.25">
      <c r="A501">
        <v>4</v>
      </c>
      <c r="B501">
        <v>45974</v>
      </c>
      <c r="C501">
        <v>-1.4824356426245199E-2</v>
      </c>
      <c r="D501">
        <v>-1.6161941580756099E-2</v>
      </c>
      <c r="E501" t="s">
        <v>355</v>
      </c>
      <c r="F501">
        <v>2025</v>
      </c>
    </row>
    <row r="502" spans="1:6" x14ac:dyDescent="0.25">
      <c r="A502">
        <v>4</v>
      </c>
      <c r="B502">
        <v>45975</v>
      </c>
      <c r="C502">
        <v>-2.1131507192599899E-3</v>
      </c>
      <c r="D502">
        <v>-2.1830486274076999E-4</v>
      </c>
      <c r="E502" t="s">
        <v>355</v>
      </c>
      <c r="F502">
        <v>2025</v>
      </c>
    </row>
    <row r="503" spans="1:6" x14ac:dyDescent="0.25">
      <c r="A503">
        <v>4</v>
      </c>
      <c r="B503">
        <v>45976</v>
      </c>
      <c r="C503">
        <v>0</v>
      </c>
      <c r="D503">
        <v>0</v>
      </c>
      <c r="E503" t="s">
        <v>355</v>
      </c>
      <c r="F503">
        <v>2025</v>
      </c>
    </row>
    <row r="504" spans="1:6" x14ac:dyDescent="0.25">
      <c r="A504">
        <v>4</v>
      </c>
      <c r="B504">
        <v>45977</v>
      </c>
      <c r="C504">
        <v>0</v>
      </c>
      <c r="D504">
        <v>0</v>
      </c>
      <c r="E504" t="s">
        <v>355</v>
      </c>
      <c r="F504">
        <v>2025</v>
      </c>
    </row>
    <row r="505" spans="1:6" x14ac:dyDescent="0.25">
      <c r="A505">
        <v>4</v>
      </c>
      <c r="B505">
        <v>45978</v>
      </c>
      <c r="C505">
        <v>-7.8153788787973504E-3</v>
      </c>
      <c r="D505">
        <v>-1.0426333315137299E-2</v>
      </c>
      <c r="E505" t="s">
        <v>355</v>
      </c>
      <c r="F505">
        <v>2025</v>
      </c>
    </row>
    <row r="506" spans="1:6" x14ac:dyDescent="0.25">
      <c r="A506">
        <v>4</v>
      </c>
      <c r="B506">
        <v>45979</v>
      </c>
      <c r="C506">
        <v>-9.0848778049615903E-3</v>
      </c>
      <c r="D506">
        <v>-8.3296557811119998E-3</v>
      </c>
      <c r="E506" t="s">
        <v>355</v>
      </c>
      <c r="F506">
        <v>2025</v>
      </c>
    </row>
    <row r="507" spans="1:6" x14ac:dyDescent="0.25">
      <c r="A507">
        <v>4</v>
      </c>
      <c r="B507">
        <v>45980</v>
      </c>
      <c r="C507">
        <v>1.6632863113685799E-3</v>
      </c>
      <c r="D507">
        <v>1.6131723869388099E-3</v>
      </c>
      <c r="E507" t="s">
        <v>355</v>
      </c>
      <c r="F507">
        <v>2025</v>
      </c>
    </row>
    <row r="508" spans="1:6" x14ac:dyDescent="0.25">
      <c r="A508">
        <v>4</v>
      </c>
      <c r="B508">
        <v>45981</v>
      </c>
      <c r="C508">
        <v>-1.2693515192181599E-2</v>
      </c>
      <c r="D508">
        <v>-1.53282239253582E-2</v>
      </c>
      <c r="E508" t="s">
        <v>355</v>
      </c>
      <c r="F508">
        <v>2025</v>
      </c>
    </row>
    <row r="509" spans="1:6" x14ac:dyDescent="0.25">
      <c r="A509">
        <v>4</v>
      </c>
      <c r="B509">
        <v>45982</v>
      </c>
      <c r="C509">
        <v>9.7889033012541499E-3</v>
      </c>
      <c r="D509">
        <v>1.0603496897913201E-2</v>
      </c>
      <c r="E509" t="s">
        <v>355</v>
      </c>
      <c r="F509">
        <v>2025</v>
      </c>
    </row>
    <row r="510" spans="1:6" x14ac:dyDescent="0.25">
      <c r="A510">
        <v>4</v>
      </c>
      <c r="B510">
        <v>45983</v>
      </c>
      <c r="C510">
        <v>0</v>
      </c>
      <c r="D510">
        <v>0</v>
      </c>
      <c r="E510" t="s">
        <v>355</v>
      </c>
      <c r="F510">
        <v>2025</v>
      </c>
    </row>
    <row r="511" spans="1:6" x14ac:dyDescent="0.25">
      <c r="A511">
        <v>4</v>
      </c>
      <c r="B511">
        <v>45984</v>
      </c>
      <c r="C511">
        <v>0</v>
      </c>
      <c r="D511">
        <v>0</v>
      </c>
      <c r="E511" t="s">
        <v>355</v>
      </c>
      <c r="F511">
        <v>2025</v>
      </c>
    </row>
    <row r="512" spans="1:6" x14ac:dyDescent="0.25">
      <c r="A512">
        <v>4</v>
      </c>
      <c r="B512">
        <v>45985</v>
      </c>
      <c r="C512">
        <v>1.05511181611588E-2</v>
      </c>
      <c r="D512">
        <v>1.10503404397813E-2</v>
      </c>
      <c r="E512" t="s">
        <v>355</v>
      </c>
      <c r="F512">
        <v>2025</v>
      </c>
    </row>
    <row r="513" spans="1:6" x14ac:dyDescent="0.25">
      <c r="A513">
        <v>4</v>
      </c>
      <c r="B513">
        <v>45986</v>
      </c>
      <c r="C513">
        <v>9.9905684136565292E-3</v>
      </c>
      <c r="D513">
        <v>1.13711636122764E-2</v>
      </c>
      <c r="E513" t="s">
        <v>355</v>
      </c>
      <c r="F513">
        <v>2025</v>
      </c>
    </row>
    <row r="514" spans="1:6" x14ac:dyDescent="0.25">
      <c r="A514">
        <v>4</v>
      </c>
      <c r="B514">
        <v>45987</v>
      </c>
      <c r="C514">
        <v>5.9739386766683999E-3</v>
      </c>
      <c r="D514">
        <v>8.2414583560745901E-3</v>
      </c>
      <c r="E514" t="s">
        <v>355</v>
      </c>
      <c r="F514">
        <v>2025</v>
      </c>
    </row>
    <row r="515" spans="1:6" x14ac:dyDescent="0.25">
      <c r="A515">
        <v>4</v>
      </c>
      <c r="B515">
        <v>45988</v>
      </c>
      <c r="C515">
        <v>0</v>
      </c>
      <c r="D515">
        <v>0</v>
      </c>
      <c r="E515" t="s">
        <v>355</v>
      </c>
      <c r="F515">
        <v>2025</v>
      </c>
    </row>
    <row r="516" spans="1:6" x14ac:dyDescent="0.25">
      <c r="A516">
        <v>4</v>
      </c>
      <c r="B516">
        <v>45989</v>
      </c>
      <c r="C516">
        <v>9.41018066094923E-3</v>
      </c>
      <c r="D516">
        <v>5.0343744925025503E-3</v>
      </c>
      <c r="E516" t="s">
        <v>355</v>
      </c>
      <c r="F516">
        <v>2025</v>
      </c>
    </row>
    <row r="517" spans="1:6" x14ac:dyDescent="0.25">
      <c r="A517">
        <v>4</v>
      </c>
      <c r="B517">
        <v>45990</v>
      </c>
      <c r="C517">
        <v>0</v>
      </c>
      <c r="D517">
        <v>0</v>
      </c>
      <c r="E517" t="s">
        <v>355</v>
      </c>
      <c r="F517">
        <v>2025</v>
      </c>
    </row>
    <row r="518" spans="1:6" x14ac:dyDescent="0.25">
      <c r="A518">
        <v>4</v>
      </c>
      <c r="B518">
        <v>45991</v>
      </c>
      <c r="C518">
        <v>0</v>
      </c>
      <c r="D518">
        <v>0</v>
      </c>
      <c r="E518" t="s">
        <v>355</v>
      </c>
      <c r="F518">
        <v>2025</v>
      </c>
    </row>
    <row r="519" spans="1:6" x14ac:dyDescent="0.25">
      <c r="A519">
        <v>4</v>
      </c>
      <c r="B519">
        <v>45992</v>
      </c>
      <c r="C519">
        <v>-4.7925012768010901E-3</v>
      </c>
      <c r="D519">
        <v>-4.4705375417428703E-3</v>
      </c>
      <c r="E519" t="s">
        <v>357</v>
      </c>
      <c r="F519">
        <v>2025</v>
      </c>
    </row>
    <row r="520" spans="1:6" x14ac:dyDescent="0.25">
      <c r="A520">
        <v>4</v>
      </c>
      <c r="B520">
        <v>45993</v>
      </c>
      <c r="C520">
        <v>1.8911641806940199E-3</v>
      </c>
      <c r="D520">
        <v>2.4346696964778801E-3</v>
      </c>
      <c r="E520" t="s">
        <v>357</v>
      </c>
      <c r="F520">
        <v>2025</v>
      </c>
    </row>
    <row r="521" spans="1:6" x14ac:dyDescent="0.25">
      <c r="A521">
        <v>4</v>
      </c>
      <c r="B521">
        <v>45994</v>
      </c>
      <c r="C521">
        <v>4.3153994976346003E-3</v>
      </c>
      <c r="D521">
        <v>4.2098445595855098E-3</v>
      </c>
      <c r="E521" t="s">
        <v>357</v>
      </c>
      <c r="F521">
        <v>2025</v>
      </c>
    </row>
    <row r="522" spans="1:6" x14ac:dyDescent="0.25">
      <c r="A522">
        <v>4</v>
      </c>
      <c r="B522">
        <v>45995</v>
      </c>
      <c r="C522">
        <v>2.7181141640335599E-3</v>
      </c>
      <c r="D522">
        <v>1.0211759647424899E-3</v>
      </c>
      <c r="E522" t="s">
        <v>357</v>
      </c>
      <c r="F522">
        <v>2025</v>
      </c>
    </row>
    <row r="523" spans="1:6" x14ac:dyDescent="0.25">
      <c r="A523">
        <v>4</v>
      </c>
      <c r="B523">
        <v>45996</v>
      </c>
      <c r="C523">
        <v>1.9569050521315301E-3</v>
      </c>
      <c r="D523">
        <v>1.77181208053701E-3</v>
      </c>
      <c r="E523" t="s">
        <v>357</v>
      </c>
      <c r="F523">
        <v>2025</v>
      </c>
    </row>
    <row r="524" spans="1:6" x14ac:dyDescent="0.25">
      <c r="A524">
        <v>4</v>
      </c>
      <c r="B524">
        <v>45997</v>
      </c>
      <c r="C524">
        <v>0</v>
      </c>
      <c r="D524">
        <v>0</v>
      </c>
      <c r="E524" t="s">
        <v>357</v>
      </c>
      <c r="F524">
        <v>2025</v>
      </c>
    </row>
    <row r="525" spans="1:6" x14ac:dyDescent="0.25">
      <c r="A525">
        <v>4</v>
      </c>
      <c r="B525">
        <v>45998</v>
      </c>
      <c r="C525">
        <v>0</v>
      </c>
      <c r="D525">
        <v>0</v>
      </c>
      <c r="E525" t="s">
        <v>357</v>
      </c>
      <c r="F525">
        <v>2025</v>
      </c>
    </row>
    <row r="526" spans="1:6" x14ac:dyDescent="0.25">
      <c r="A526">
        <v>4</v>
      </c>
      <c r="B526">
        <v>45999</v>
      </c>
      <c r="C526">
        <v>-3.6134040376640799E-3</v>
      </c>
      <c r="D526">
        <v>-3.5909529424376098E-3</v>
      </c>
      <c r="E526" t="s">
        <v>357</v>
      </c>
      <c r="F526">
        <v>2025</v>
      </c>
    </row>
    <row r="527" spans="1:6" x14ac:dyDescent="0.25">
      <c r="A527">
        <v>4</v>
      </c>
      <c r="B527">
        <v>46000</v>
      </c>
      <c r="C527">
        <v>-2.5009669340153601E-3</v>
      </c>
      <c r="D527">
        <v>-1.6136840406644201E-4</v>
      </c>
      <c r="E527" t="s">
        <v>357</v>
      </c>
      <c r="F527">
        <v>2025</v>
      </c>
    </row>
    <row r="528" spans="1:6" x14ac:dyDescent="0.25">
      <c r="A528">
        <v>4</v>
      </c>
      <c r="B528">
        <v>46001</v>
      </c>
      <c r="C528">
        <v>2.7022377478320698E-3</v>
      </c>
      <c r="D528">
        <v>6.7247686679578998E-3</v>
      </c>
      <c r="E528" t="s">
        <v>357</v>
      </c>
      <c r="F528">
        <v>2025</v>
      </c>
    </row>
    <row r="529" spans="1:6" x14ac:dyDescent="0.25">
      <c r="A529">
        <v>4</v>
      </c>
      <c r="B529">
        <v>46002</v>
      </c>
      <c r="C529">
        <v>1.6686408107882101E-3</v>
      </c>
      <c r="D529">
        <v>3.8475925826966201E-3</v>
      </c>
      <c r="E529" t="s">
        <v>357</v>
      </c>
      <c r="F529">
        <v>2025</v>
      </c>
    </row>
    <row r="530" spans="1:6" x14ac:dyDescent="0.25">
      <c r="A530">
        <v>4</v>
      </c>
      <c r="B530">
        <v>46003</v>
      </c>
      <c r="C530">
        <v>-9.2974411368255093E-3</v>
      </c>
      <c r="D530">
        <v>-9.3691775352674495E-3</v>
      </c>
      <c r="E530" t="s">
        <v>357</v>
      </c>
      <c r="F530">
        <v>2025</v>
      </c>
    </row>
    <row r="531" spans="1:6" x14ac:dyDescent="0.25">
      <c r="A531">
        <v>4</v>
      </c>
      <c r="B531">
        <v>46004</v>
      </c>
      <c r="C531">
        <v>0</v>
      </c>
      <c r="D531">
        <v>0</v>
      </c>
      <c r="E531" t="s">
        <v>357</v>
      </c>
      <c r="F531">
        <v>2025</v>
      </c>
    </row>
    <row r="532" spans="1:6" x14ac:dyDescent="0.25">
      <c r="A532">
        <v>4</v>
      </c>
      <c r="B532">
        <v>46005</v>
      </c>
      <c r="C532">
        <v>0</v>
      </c>
      <c r="D532">
        <v>0</v>
      </c>
      <c r="E532" t="s">
        <v>357</v>
      </c>
      <c r="F532">
        <v>2025</v>
      </c>
    </row>
    <row r="533" spans="1:6" x14ac:dyDescent="0.25">
      <c r="A533">
        <v>4</v>
      </c>
      <c r="B533">
        <v>46006</v>
      </c>
      <c r="C533">
        <v>-4.2519590733440804E-3</v>
      </c>
      <c r="D533">
        <v>9.1353646085212703E-4</v>
      </c>
      <c r="E533" t="s">
        <v>357</v>
      </c>
      <c r="F533">
        <v>2025</v>
      </c>
    </row>
    <row r="534" spans="1:6" x14ac:dyDescent="0.25">
      <c r="A534">
        <v>4</v>
      </c>
      <c r="B534">
        <v>46007</v>
      </c>
      <c r="C534">
        <v>-2.3775087539169601E-3</v>
      </c>
      <c r="D534">
        <v>-1.11134972618919E-2</v>
      </c>
      <c r="E534" t="s">
        <v>357</v>
      </c>
      <c r="F534">
        <v>2025</v>
      </c>
    </row>
    <row r="535" spans="1:6" x14ac:dyDescent="0.25">
      <c r="A535">
        <v>4</v>
      </c>
      <c r="B535">
        <v>46008</v>
      </c>
      <c r="C535">
        <v>-9.7211093546649696E-3</v>
      </c>
      <c r="D535">
        <v>-1.0315435148487999E-2</v>
      </c>
      <c r="E535" t="s">
        <v>357</v>
      </c>
      <c r="F535">
        <v>2025</v>
      </c>
    </row>
    <row r="536" spans="1:6" x14ac:dyDescent="0.25">
      <c r="A536">
        <v>4</v>
      </c>
      <c r="B536">
        <v>46009</v>
      </c>
      <c r="C536">
        <v>7.6122502593851697E-3</v>
      </c>
      <c r="D536">
        <v>7.5703549289594099E-3</v>
      </c>
      <c r="E536" t="s">
        <v>357</v>
      </c>
      <c r="F536">
        <v>2025</v>
      </c>
    </row>
    <row r="537" spans="1:6" x14ac:dyDescent="0.25">
      <c r="A537">
        <v>4</v>
      </c>
      <c r="B537">
        <v>46010</v>
      </c>
      <c r="C537">
        <v>4.1386731702048899E-3</v>
      </c>
      <c r="D537">
        <v>8.2212664016987295E-3</v>
      </c>
      <c r="E537" t="s">
        <v>357</v>
      </c>
      <c r="F537">
        <v>2025</v>
      </c>
    </row>
    <row r="538" spans="1:6" x14ac:dyDescent="0.25">
      <c r="A538">
        <v>4</v>
      </c>
      <c r="B538">
        <v>46011</v>
      </c>
      <c r="C538">
        <v>0</v>
      </c>
      <c r="D538">
        <v>0</v>
      </c>
      <c r="E538" t="s">
        <v>357</v>
      </c>
      <c r="F538">
        <v>2025</v>
      </c>
    </row>
    <row r="539" spans="1:6" x14ac:dyDescent="0.25">
      <c r="A539">
        <v>4</v>
      </c>
      <c r="B539">
        <v>46012</v>
      </c>
      <c r="C539">
        <v>0</v>
      </c>
      <c r="D539">
        <v>0</v>
      </c>
      <c r="E539" t="s">
        <v>357</v>
      </c>
      <c r="F539">
        <v>2025</v>
      </c>
    </row>
    <row r="540" spans="1:6" x14ac:dyDescent="0.25">
      <c r="A540">
        <v>4</v>
      </c>
      <c r="B540">
        <v>46013</v>
      </c>
      <c r="C540">
        <v>5.6681225523191898E-3</v>
      </c>
      <c r="D540">
        <v>5.9941678366992601E-3</v>
      </c>
      <c r="E540" t="s">
        <v>357</v>
      </c>
      <c r="F540">
        <v>2025</v>
      </c>
    </row>
    <row r="541" spans="1:6" x14ac:dyDescent="0.25">
      <c r="A541">
        <v>4</v>
      </c>
      <c r="B541">
        <v>46014</v>
      </c>
      <c r="C541">
        <v>2.77293716653149E-3</v>
      </c>
      <c r="D541">
        <v>4.9385366901069103E-3</v>
      </c>
      <c r="E541" t="s">
        <v>357</v>
      </c>
      <c r="F541">
        <v>2025</v>
      </c>
    </row>
    <row r="542" spans="1:6" x14ac:dyDescent="0.25">
      <c r="A542">
        <v>4</v>
      </c>
      <c r="B542">
        <v>46015</v>
      </c>
      <c r="C542">
        <v>2.0782279790148E-3</v>
      </c>
      <c r="D542">
        <v>3.20495700016021E-3</v>
      </c>
      <c r="E542" t="s">
        <v>357</v>
      </c>
      <c r="F542">
        <v>2025</v>
      </c>
    </row>
    <row r="543" spans="1:6" x14ac:dyDescent="0.25">
      <c r="A543">
        <v>4</v>
      </c>
      <c r="B543">
        <v>46016</v>
      </c>
      <c r="C543">
        <v>0</v>
      </c>
      <c r="D543">
        <v>0</v>
      </c>
      <c r="E543" t="s">
        <v>357</v>
      </c>
      <c r="F543">
        <v>2025</v>
      </c>
    </row>
    <row r="544" spans="1:6" x14ac:dyDescent="0.25">
      <c r="A544">
        <v>4</v>
      </c>
      <c r="B544">
        <v>46017</v>
      </c>
      <c r="C544">
        <v>0</v>
      </c>
      <c r="D544">
        <v>0</v>
      </c>
      <c r="E544" t="s">
        <v>357</v>
      </c>
      <c r="F544">
        <v>2025</v>
      </c>
    </row>
    <row r="545" spans="1:6" x14ac:dyDescent="0.25">
      <c r="A545">
        <v>4</v>
      </c>
      <c r="B545">
        <v>46018</v>
      </c>
      <c r="C545">
        <v>0</v>
      </c>
      <c r="D545">
        <v>0</v>
      </c>
      <c r="E545" t="s">
        <v>357</v>
      </c>
      <c r="F545">
        <v>2025</v>
      </c>
    </row>
    <row r="546" spans="1:6" x14ac:dyDescent="0.25">
      <c r="A546">
        <v>4</v>
      </c>
      <c r="B546">
        <v>46019</v>
      </c>
      <c r="C546">
        <v>0</v>
      </c>
      <c r="D546">
        <v>0</v>
      </c>
      <c r="E546" t="s">
        <v>357</v>
      </c>
      <c r="F546">
        <v>2025</v>
      </c>
    </row>
    <row r="547" spans="1:6" x14ac:dyDescent="0.25">
      <c r="A547">
        <v>4</v>
      </c>
      <c r="B547">
        <v>46020</v>
      </c>
      <c r="C547">
        <v>-2.2895484347445999E-3</v>
      </c>
      <c r="D547">
        <v>-3.7804163782546598E-3</v>
      </c>
      <c r="E547" t="s">
        <v>357</v>
      </c>
      <c r="F547">
        <v>2025</v>
      </c>
    </row>
    <row r="548" spans="1:6" x14ac:dyDescent="0.25">
      <c r="A548">
        <v>4</v>
      </c>
      <c r="B548">
        <v>46021</v>
      </c>
      <c r="C548">
        <v>-6.8176879057191297E-4</v>
      </c>
      <c r="D548">
        <v>-4.8102618920364799E-4</v>
      </c>
      <c r="E548" t="s">
        <v>357</v>
      </c>
      <c r="F548">
        <v>2025</v>
      </c>
    </row>
    <row r="549" spans="1:6" x14ac:dyDescent="0.25">
      <c r="A549">
        <v>4</v>
      </c>
      <c r="B549">
        <v>46022</v>
      </c>
      <c r="C549">
        <v>-6.3406640975282001E-3</v>
      </c>
      <c r="D549">
        <v>-6.6306614619537898E-3</v>
      </c>
      <c r="E549" t="s">
        <v>357</v>
      </c>
      <c r="F549">
        <v>2025</v>
      </c>
    </row>
    <row r="550" spans="1:6" x14ac:dyDescent="0.25">
      <c r="A550">
        <v>1</v>
      </c>
      <c r="B550">
        <v>46023</v>
      </c>
      <c r="C550">
        <v>0</v>
      </c>
      <c r="D550">
        <v>0</v>
      </c>
      <c r="E550" t="s">
        <v>348</v>
      </c>
      <c r="F550">
        <v>2026</v>
      </c>
    </row>
    <row r="551" spans="1:6" x14ac:dyDescent="0.25">
      <c r="A551">
        <v>1</v>
      </c>
      <c r="B551">
        <v>46024</v>
      </c>
      <c r="C551">
        <v>2.9691852159516902E-3</v>
      </c>
      <c r="D551">
        <v>3.9834203585076304E-3</v>
      </c>
      <c r="E551" t="s">
        <v>348</v>
      </c>
      <c r="F551">
        <v>2026</v>
      </c>
    </row>
    <row r="552" spans="1:6" x14ac:dyDescent="0.25">
      <c r="A552">
        <v>1</v>
      </c>
      <c r="B552">
        <v>46025</v>
      </c>
      <c r="C552">
        <v>0</v>
      </c>
      <c r="D552">
        <v>0</v>
      </c>
      <c r="E552" t="s">
        <v>348</v>
      </c>
      <c r="F552">
        <v>2026</v>
      </c>
    </row>
    <row r="553" spans="1:6" x14ac:dyDescent="0.25">
      <c r="A553">
        <v>1</v>
      </c>
      <c r="B553">
        <v>46026</v>
      </c>
      <c r="C553">
        <v>0</v>
      </c>
      <c r="D553">
        <v>0</v>
      </c>
      <c r="E553" t="s">
        <v>348</v>
      </c>
      <c r="F553">
        <v>2026</v>
      </c>
    </row>
    <row r="554" spans="1:6" x14ac:dyDescent="0.25">
      <c r="A554">
        <v>1</v>
      </c>
      <c r="B554">
        <v>46027</v>
      </c>
      <c r="C554">
        <v>7.6730779401652498E-3</v>
      </c>
      <c r="D554">
        <v>8.0424642110341598E-3</v>
      </c>
      <c r="E554" t="s">
        <v>348</v>
      </c>
      <c r="F554">
        <v>2026</v>
      </c>
    </row>
    <row r="555" spans="1:6" x14ac:dyDescent="0.25">
      <c r="A555">
        <v>1</v>
      </c>
      <c r="B555">
        <v>46028</v>
      </c>
      <c r="C555">
        <v>8.9049059243251297E-3</v>
      </c>
      <c r="D555">
        <v>5.1593000372320797E-3</v>
      </c>
      <c r="E555" t="s">
        <v>348</v>
      </c>
      <c r="F555">
        <v>2026</v>
      </c>
    </row>
    <row r="556" spans="1:6" x14ac:dyDescent="0.25">
      <c r="A556">
        <v>1</v>
      </c>
      <c r="B556">
        <v>46029</v>
      </c>
      <c r="C556">
        <v>-4.9799948120447003E-3</v>
      </c>
      <c r="D556">
        <v>-4.0215895861995801E-3</v>
      </c>
      <c r="E556" t="s">
        <v>348</v>
      </c>
      <c r="F556">
        <v>2026</v>
      </c>
    </row>
    <row r="557" spans="1:6" x14ac:dyDescent="0.25">
      <c r="A557">
        <v>1</v>
      </c>
      <c r="B557">
        <v>46030</v>
      </c>
      <c r="C557">
        <v>7.9969001419200004E-4</v>
      </c>
      <c r="D557">
        <v>1.062586335141E-4</v>
      </c>
      <c r="E557" t="s">
        <v>348</v>
      </c>
      <c r="F557">
        <v>2026</v>
      </c>
    </row>
    <row r="558" spans="1:6" x14ac:dyDescent="0.25">
      <c r="A558">
        <v>1</v>
      </c>
      <c r="B558">
        <v>46031</v>
      </c>
      <c r="C558">
        <v>5.2072728640497603E-3</v>
      </c>
      <c r="D558">
        <v>6.8529536761581201E-3</v>
      </c>
      <c r="E558" t="s">
        <v>348</v>
      </c>
      <c r="F558">
        <v>2026</v>
      </c>
    </row>
    <row r="559" spans="1:6" x14ac:dyDescent="0.25">
      <c r="A559">
        <v>1</v>
      </c>
      <c r="B559">
        <v>46032</v>
      </c>
      <c r="C559">
        <v>0</v>
      </c>
      <c r="D559">
        <v>0</v>
      </c>
      <c r="E559" t="s">
        <v>348</v>
      </c>
      <c r="F559">
        <v>2026</v>
      </c>
    </row>
    <row r="560" spans="1:6" x14ac:dyDescent="0.25">
      <c r="A560">
        <v>1</v>
      </c>
      <c r="B560">
        <v>46033</v>
      </c>
      <c r="C560">
        <v>0</v>
      </c>
      <c r="D560">
        <v>0</v>
      </c>
      <c r="E560" t="s">
        <v>348</v>
      </c>
      <c r="F560">
        <v>2026</v>
      </c>
    </row>
    <row r="561" spans="1:6" x14ac:dyDescent="0.25">
      <c r="A561">
        <v>1</v>
      </c>
      <c r="B561">
        <v>46034</v>
      </c>
      <c r="C561">
        <v>-8.3622831126883802E-4</v>
      </c>
      <c r="D561">
        <v>2.7436289769429099E-3</v>
      </c>
      <c r="E561" t="s">
        <v>348</v>
      </c>
      <c r="F561">
        <v>2026</v>
      </c>
    </row>
    <row r="562" spans="1:6" x14ac:dyDescent="0.25">
      <c r="A562">
        <v>1</v>
      </c>
      <c r="B562">
        <v>46035</v>
      </c>
      <c r="C562">
        <v>-2.4188496414984102E-3</v>
      </c>
      <c r="D562">
        <v>-2.7361220731386702E-3</v>
      </c>
      <c r="E562" t="s">
        <v>348</v>
      </c>
      <c r="F562">
        <v>2026</v>
      </c>
    </row>
    <row r="563" spans="1:6" x14ac:dyDescent="0.25">
      <c r="A563">
        <v>1</v>
      </c>
      <c r="B563">
        <v>46036</v>
      </c>
      <c r="C563">
        <v>-4.6190239676753304E-3</v>
      </c>
      <c r="D563">
        <v>-3.1657257426264099E-3</v>
      </c>
      <c r="E563" t="s">
        <v>348</v>
      </c>
      <c r="F563">
        <v>2026</v>
      </c>
    </row>
    <row r="564" spans="1:6" x14ac:dyDescent="0.25">
      <c r="A564">
        <v>1</v>
      </c>
      <c r="B564">
        <v>46037</v>
      </c>
      <c r="C564">
        <v>3.9130667133506804E-3</v>
      </c>
      <c r="D564">
        <v>1.6937490075688E-3</v>
      </c>
      <c r="E564" t="s">
        <v>348</v>
      </c>
      <c r="F564">
        <v>2026</v>
      </c>
    </row>
    <row r="565" spans="1:6" x14ac:dyDescent="0.25">
      <c r="A565">
        <v>1</v>
      </c>
      <c r="B565">
        <v>46038</v>
      </c>
      <c r="C565">
        <v>-3.8131229302862401E-4</v>
      </c>
      <c r="D565">
        <v>-2.1136063408189201E-4</v>
      </c>
      <c r="E565" t="s">
        <v>348</v>
      </c>
      <c r="F565">
        <v>2026</v>
      </c>
    </row>
    <row r="566" spans="1:6" x14ac:dyDescent="0.25">
      <c r="A566">
        <v>1</v>
      </c>
      <c r="B566">
        <v>46039</v>
      </c>
      <c r="C566">
        <v>0</v>
      </c>
      <c r="D566">
        <v>0</v>
      </c>
      <c r="E566" t="s">
        <v>348</v>
      </c>
      <c r="F566">
        <v>2026</v>
      </c>
    </row>
    <row r="567" spans="1:6" x14ac:dyDescent="0.25">
      <c r="A567">
        <v>1</v>
      </c>
      <c r="B567">
        <v>46040</v>
      </c>
      <c r="C567">
        <v>0</v>
      </c>
      <c r="D567">
        <v>0</v>
      </c>
      <c r="E567" t="s">
        <v>348</v>
      </c>
      <c r="F567">
        <v>2026</v>
      </c>
    </row>
    <row r="568" spans="1:6" x14ac:dyDescent="0.25">
      <c r="A568">
        <v>1</v>
      </c>
      <c r="B568">
        <v>46041</v>
      </c>
      <c r="C568">
        <v>-8.4712807271514201E-4</v>
      </c>
      <c r="D568">
        <v>0</v>
      </c>
      <c r="E568" t="s">
        <v>348</v>
      </c>
      <c r="F568">
        <v>2026</v>
      </c>
    </row>
    <row r="569" spans="1:6" x14ac:dyDescent="0.25">
      <c r="A569">
        <v>1</v>
      </c>
      <c r="B569">
        <v>46042</v>
      </c>
      <c r="C569">
        <v>-1.82325049254538E-2</v>
      </c>
      <c r="D569">
        <v>-1.8867924528302001E-2</v>
      </c>
      <c r="E569" t="s">
        <v>348</v>
      </c>
      <c r="F569">
        <v>2026</v>
      </c>
    </row>
    <row r="570" spans="1:6" x14ac:dyDescent="0.25">
      <c r="A570">
        <v>1</v>
      </c>
      <c r="B570">
        <v>46043</v>
      </c>
      <c r="C570">
        <v>1.11845884680462E-2</v>
      </c>
      <c r="D570">
        <v>1.08812755871579E-2</v>
      </c>
      <c r="E570" t="s">
        <v>348</v>
      </c>
      <c r="F570">
        <v>2026</v>
      </c>
    </row>
    <row r="571" spans="1:6" x14ac:dyDescent="0.25">
      <c r="A571">
        <v>1</v>
      </c>
      <c r="B571">
        <v>46044</v>
      </c>
      <c r="C571">
        <v>5.6938462725528698E-3</v>
      </c>
      <c r="D571">
        <v>4.7959074922732103E-3</v>
      </c>
      <c r="E571" t="s">
        <v>348</v>
      </c>
      <c r="F571">
        <v>2026</v>
      </c>
    </row>
    <row r="572" spans="1:6" x14ac:dyDescent="0.25">
      <c r="A572">
        <v>1</v>
      </c>
      <c r="B572">
        <v>46045</v>
      </c>
      <c r="C572">
        <v>-7.9281681631448997E-3</v>
      </c>
      <c r="D572">
        <v>1.59100551548574E-3</v>
      </c>
      <c r="E572" t="s">
        <v>348</v>
      </c>
      <c r="F572">
        <v>2026</v>
      </c>
    </row>
    <row r="573" spans="1:6" x14ac:dyDescent="0.25">
      <c r="A573">
        <v>1</v>
      </c>
      <c r="B573">
        <v>46046</v>
      </c>
      <c r="C573">
        <v>0</v>
      </c>
      <c r="D573">
        <v>0</v>
      </c>
      <c r="E573" t="s">
        <v>348</v>
      </c>
      <c r="F573">
        <v>2026</v>
      </c>
    </row>
    <row r="574" spans="1:6" x14ac:dyDescent="0.25">
      <c r="A574">
        <v>1</v>
      </c>
      <c r="B574">
        <v>46047</v>
      </c>
      <c r="C574">
        <v>0</v>
      </c>
      <c r="D574">
        <v>0</v>
      </c>
      <c r="E574" t="s">
        <v>348</v>
      </c>
      <c r="F574">
        <v>2026</v>
      </c>
    </row>
    <row r="575" spans="1:6" x14ac:dyDescent="0.25">
      <c r="A575">
        <v>1</v>
      </c>
      <c r="B575">
        <v>46048</v>
      </c>
      <c r="C575">
        <v>9.2016270990757904E-5</v>
      </c>
      <c r="D575">
        <v>5.5596738324683601E-3</v>
      </c>
      <c r="E575" t="s">
        <v>348</v>
      </c>
      <c r="F575">
        <v>2026</v>
      </c>
    </row>
    <row r="576" spans="1:6" x14ac:dyDescent="0.25">
      <c r="A576">
        <v>1</v>
      </c>
      <c r="B576">
        <v>46049</v>
      </c>
      <c r="C576">
        <v>7.9305365905284492E-3</v>
      </c>
      <c r="D576">
        <v>7.2665999684060597E-3</v>
      </c>
      <c r="E576" t="s">
        <v>348</v>
      </c>
      <c r="F576">
        <v>2026</v>
      </c>
    </row>
    <row r="577" spans="1:6" x14ac:dyDescent="0.25">
      <c r="A577">
        <v>1</v>
      </c>
      <c r="B577">
        <v>46050</v>
      </c>
      <c r="C577">
        <v>4.5870637559544099E-3</v>
      </c>
      <c r="D577">
        <v>-2.6138324010664999E-3</v>
      </c>
      <c r="E577" t="s">
        <v>348</v>
      </c>
      <c r="F577">
        <v>2026</v>
      </c>
    </row>
    <row r="578" spans="1:6" x14ac:dyDescent="0.25">
      <c r="A578">
        <v>1</v>
      </c>
      <c r="B578">
        <v>46051</v>
      </c>
      <c r="C578">
        <v>-1.2862018811763401E-3</v>
      </c>
      <c r="D578">
        <v>5.2413648514271203E-5</v>
      </c>
      <c r="E578" t="s">
        <v>348</v>
      </c>
      <c r="F578">
        <v>2026</v>
      </c>
    </row>
    <row r="579" spans="1:6" x14ac:dyDescent="0.25">
      <c r="A579">
        <v>1</v>
      </c>
      <c r="B579">
        <v>46052</v>
      </c>
      <c r="C579">
        <v>-7.5653386662564203E-3</v>
      </c>
      <c r="D579">
        <v>-6.2893081761007403E-3</v>
      </c>
      <c r="E579" t="s">
        <v>348</v>
      </c>
      <c r="F579">
        <v>2026</v>
      </c>
    </row>
    <row r="580" spans="1:6" x14ac:dyDescent="0.25">
      <c r="A580">
        <v>1</v>
      </c>
      <c r="B580">
        <v>46053</v>
      </c>
      <c r="C580">
        <v>0</v>
      </c>
      <c r="D580">
        <v>0</v>
      </c>
      <c r="E580" t="s">
        <v>348</v>
      </c>
      <c r="F580">
        <v>2026</v>
      </c>
    </row>
    <row r="581" spans="1:6" x14ac:dyDescent="0.25">
      <c r="A581">
        <v>1</v>
      </c>
      <c r="B581">
        <v>46054</v>
      </c>
      <c r="C581">
        <v>0</v>
      </c>
      <c r="D581">
        <v>0</v>
      </c>
      <c r="E581" t="s">
        <v>350</v>
      </c>
      <c r="F581">
        <v>2026</v>
      </c>
    </row>
    <row r="582" spans="1:6" x14ac:dyDescent="0.25">
      <c r="A582">
        <v>1</v>
      </c>
      <c r="B582">
        <v>46055</v>
      </c>
      <c r="C582">
        <v>1.1540362581174499E-2</v>
      </c>
      <c r="D582">
        <v>5.5907172995781603E-3</v>
      </c>
      <c r="E582" t="s">
        <v>350</v>
      </c>
      <c r="F582">
        <v>2026</v>
      </c>
    </row>
    <row r="583" spans="1:6" x14ac:dyDescent="0.25">
      <c r="A583">
        <v>1</v>
      </c>
      <c r="B583">
        <v>46056</v>
      </c>
      <c r="C583">
        <v>-5.0586839746227198E-3</v>
      </c>
      <c r="D583">
        <v>-6.3988251337459001E-3</v>
      </c>
      <c r="E583" t="s">
        <v>350</v>
      </c>
      <c r="F583">
        <v>2026</v>
      </c>
    </row>
    <row r="584" spans="1:6" x14ac:dyDescent="0.25">
      <c r="A584">
        <v>1</v>
      </c>
      <c r="B584">
        <v>46057</v>
      </c>
      <c r="C584">
        <v>-2.8681020606170098E-2</v>
      </c>
      <c r="D584">
        <v>-2.42820945945954E-3</v>
      </c>
      <c r="E584" t="s">
        <v>350</v>
      </c>
      <c r="F584">
        <v>2026</v>
      </c>
    </row>
    <row r="585" spans="1:6" x14ac:dyDescent="0.25">
      <c r="A585">
        <v>1</v>
      </c>
      <c r="B585">
        <v>46058</v>
      </c>
      <c r="C585">
        <v>-4.8610345905775198E-4</v>
      </c>
      <c r="D585">
        <v>-1.3334744417398601E-2</v>
      </c>
      <c r="E585" t="s">
        <v>350</v>
      </c>
      <c r="F585">
        <v>2026</v>
      </c>
    </row>
    <row r="586" spans="1:6" x14ac:dyDescent="0.25">
      <c r="A586">
        <v>1</v>
      </c>
      <c r="B586">
        <v>46059</v>
      </c>
      <c r="C586">
        <v>3.0981361995432201E-2</v>
      </c>
      <c r="D586">
        <v>2.02724444921163E-2</v>
      </c>
      <c r="E586" t="s">
        <v>350</v>
      </c>
      <c r="F586">
        <v>2026</v>
      </c>
    </row>
    <row r="587" spans="1:6" x14ac:dyDescent="0.25">
      <c r="A587">
        <v>1</v>
      </c>
      <c r="B587">
        <v>46060</v>
      </c>
      <c r="C587">
        <v>0</v>
      </c>
      <c r="D587">
        <v>0</v>
      </c>
      <c r="E587" t="s">
        <v>350</v>
      </c>
      <c r="F587">
        <v>2026</v>
      </c>
    </row>
    <row r="588" spans="1:6" x14ac:dyDescent="0.25">
      <c r="A588">
        <v>1</v>
      </c>
      <c r="B588">
        <v>46061</v>
      </c>
      <c r="C588">
        <v>0</v>
      </c>
      <c r="D588">
        <v>0</v>
      </c>
      <c r="E588" t="s">
        <v>350</v>
      </c>
      <c r="F588">
        <v>2026</v>
      </c>
    </row>
    <row r="589" spans="1:6" x14ac:dyDescent="0.25">
      <c r="A589">
        <v>1</v>
      </c>
      <c r="B589">
        <v>46062</v>
      </c>
      <c r="C589">
        <v>1.33827748947517E-2</v>
      </c>
      <c r="D589">
        <v>8.4104289318756003E-3</v>
      </c>
      <c r="E589" t="s">
        <v>350</v>
      </c>
      <c r="F589">
        <v>2026</v>
      </c>
    </row>
    <row r="590" spans="1:6" x14ac:dyDescent="0.25">
      <c r="A590">
        <v>1</v>
      </c>
      <c r="B590">
        <v>46063</v>
      </c>
      <c r="C590">
        <v>-4.1311296915272501E-2</v>
      </c>
      <c r="D590">
        <v>-1.2510425354462799E-3</v>
      </c>
      <c r="E590" t="s">
        <v>350</v>
      </c>
      <c r="F590">
        <v>2026</v>
      </c>
    </row>
    <row r="591" spans="1:6" x14ac:dyDescent="0.25">
      <c r="A591">
        <v>1</v>
      </c>
      <c r="B591">
        <v>46064</v>
      </c>
      <c r="C591">
        <v>-6.4506993692373697E-3</v>
      </c>
      <c r="D591">
        <v>1.2004175365345499E-3</v>
      </c>
      <c r="E591" t="s">
        <v>350</v>
      </c>
      <c r="F591">
        <v>2026</v>
      </c>
    </row>
    <row r="592" spans="1:6" x14ac:dyDescent="0.25">
      <c r="A592">
        <v>1</v>
      </c>
      <c r="B592">
        <v>46065</v>
      </c>
      <c r="C592">
        <v>-1.1728992305678299E-2</v>
      </c>
      <c r="D592">
        <v>-1.4648386592295301E-2</v>
      </c>
      <c r="E592" t="s">
        <v>350</v>
      </c>
      <c r="F592">
        <v>2026</v>
      </c>
    </row>
    <row r="593" spans="1:6" x14ac:dyDescent="0.25">
      <c r="A593">
        <v>1</v>
      </c>
      <c r="B593">
        <v>46066</v>
      </c>
      <c r="C593">
        <v>3.6677687129671502E-5</v>
      </c>
      <c r="D593">
        <v>2.0103692730928401E-3</v>
      </c>
      <c r="E593" t="s">
        <v>350</v>
      </c>
      <c r="F593">
        <v>2026</v>
      </c>
    </row>
    <row r="594" spans="1:6" x14ac:dyDescent="0.25">
      <c r="A594">
        <v>1</v>
      </c>
      <c r="B594">
        <v>46067</v>
      </c>
      <c r="C594">
        <v>0</v>
      </c>
      <c r="D594">
        <v>0</v>
      </c>
      <c r="E594" t="s">
        <v>350</v>
      </c>
      <c r="F594">
        <v>2026</v>
      </c>
    </row>
    <row r="595" spans="1:6" x14ac:dyDescent="0.25">
      <c r="A595">
        <v>1</v>
      </c>
      <c r="B595">
        <v>46068</v>
      </c>
      <c r="C595">
        <v>0</v>
      </c>
      <c r="D595">
        <v>0</v>
      </c>
      <c r="E595" t="s">
        <v>350</v>
      </c>
      <c r="F595">
        <v>2026</v>
      </c>
    </row>
    <row r="596" spans="1:6" x14ac:dyDescent="0.25">
      <c r="A596">
        <v>1</v>
      </c>
      <c r="B596">
        <v>46069</v>
      </c>
      <c r="C596">
        <v>-3.6650413087868601E-4</v>
      </c>
      <c r="D596">
        <v>0</v>
      </c>
      <c r="E596" t="s">
        <v>350</v>
      </c>
      <c r="F596">
        <v>2026</v>
      </c>
    </row>
    <row r="597" spans="1:6" x14ac:dyDescent="0.25">
      <c r="A597">
        <v>1</v>
      </c>
      <c r="B597">
        <v>46070</v>
      </c>
      <c r="C597">
        <v>6.9515023761728099E-3</v>
      </c>
      <c r="D597">
        <v>3.1678986272431998E-4</v>
      </c>
      <c r="E597" t="s">
        <v>350</v>
      </c>
      <c r="F597">
        <v>2026</v>
      </c>
    </row>
    <row r="598" spans="1:6" x14ac:dyDescent="0.25">
      <c r="A598">
        <v>1</v>
      </c>
      <c r="B598">
        <v>46071</v>
      </c>
      <c r="C598">
        <v>9.21706937607558E-3</v>
      </c>
      <c r="D598">
        <v>5.0142510292410201E-3</v>
      </c>
      <c r="E598" t="s">
        <v>350</v>
      </c>
      <c r="F598">
        <v>2026</v>
      </c>
    </row>
    <row r="599" spans="1:6" x14ac:dyDescent="0.25">
      <c r="A599">
        <v>1</v>
      </c>
      <c r="B599">
        <v>46072</v>
      </c>
      <c r="C599">
        <v>-4.44296660353727E-4</v>
      </c>
      <c r="D599">
        <v>-2.7309490047792199E-3</v>
      </c>
      <c r="E599" t="s">
        <v>350</v>
      </c>
      <c r="F599">
        <v>2026</v>
      </c>
    </row>
    <row r="600" spans="1:6" x14ac:dyDescent="0.25">
      <c r="A600">
        <v>1</v>
      </c>
      <c r="B600">
        <v>46073</v>
      </c>
      <c r="C600">
        <v>2.1894662751906799E-3</v>
      </c>
      <c r="D600">
        <v>6.8460687766602702E-3</v>
      </c>
      <c r="E600" t="s">
        <v>350</v>
      </c>
      <c r="F600">
        <v>2026</v>
      </c>
    </row>
    <row r="601" spans="1:6" x14ac:dyDescent="0.25">
      <c r="A601">
        <v>1</v>
      </c>
      <c r="B601">
        <v>46074</v>
      </c>
      <c r="C601">
        <v>0</v>
      </c>
      <c r="D601">
        <v>0</v>
      </c>
      <c r="E601" t="s">
        <v>350</v>
      </c>
      <c r="F601">
        <v>2026</v>
      </c>
    </row>
    <row r="602" spans="1:6" x14ac:dyDescent="0.25">
      <c r="A602">
        <v>1</v>
      </c>
      <c r="B602">
        <v>46075</v>
      </c>
      <c r="C602">
        <v>0</v>
      </c>
      <c r="D602">
        <v>0</v>
      </c>
      <c r="E602" t="s">
        <v>350</v>
      </c>
      <c r="F602">
        <v>2026</v>
      </c>
    </row>
    <row r="603" spans="1:6" x14ac:dyDescent="0.25">
      <c r="A603">
        <v>1</v>
      </c>
      <c r="B603">
        <v>46076</v>
      </c>
      <c r="C603">
        <v>-2.9990422480245002E-3</v>
      </c>
      <c r="D603">
        <v>-8.8393744442700796E-3</v>
      </c>
      <c r="E603" t="s">
        <v>350</v>
      </c>
      <c r="F603">
        <v>2026</v>
      </c>
    </row>
    <row r="604" spans="1:6" x14ac:dyDescent="0.25">
      <c r="A604">
        <v>1</v>
      </c>
      <c r="B604">
        <v>46077</v>
      </c>
      <c r="C604">
        <v>2.1334266629645E-2</v>
      </c>
      <c r="D604">
        <v>6.7018469656992003E-3</v>
      </c>
      <c r="E604" t="s">
        <v>350</v>
      </c>
      <c r="F604">
        <v>2026</v>
      </c>
    </row>
    <row r="605" spans="1:6" x14ac:dyDescent="0.25">
      <c r="A605">
        <v>1</v>
      </c>
      <c r="B605">
        <v>46078</v>
      </c>
      <c r="C605">
        <v>4.6549472964013502E-2</v>
      </c>
      <c r="D605">
        <v>8.3870629553912703E-3</v>
      </c>
      <c r="E605" t="s">
        <v>350</v>
      </c>
      <c r="F605">
        <v>2026</v>
      </c>
    </row>
    <row r="606" spans="1:6" x14ac:dyDescent="0.25">
      <c r="A606">
        <v>1</v>
      </c>
      <c r="B606">
        <v>46079</v>
      </c>
      <c r="C606">
        <v>-2.1478579218815699E-2</v>
      </c>
      <c r="D606">
        <v>-3.5868378645318401E-3</v>
      </c>
      <c r="E606" t="s">
        <v>350</v>
      </c>
      <c r="F606">
        <v>2026</v>
      </c>
    </row>
    <row r="607" spans="1:6" x14ac:dyDescent="0.25">
      <c r="A607">
        <v>1</v>
      </c>
      <c r="B607">
        <v>46080</v>
      </c>
      <c r="C607">
        <v>-6.7965039890840497E-3</v>
      </c>
      <c r="D607">
        <v>-4.3823038397329296E-3</v>
      </c>
      <c r="E607" t="s">
        <v>350</v>
      </c>
      <c r="F607">
        <v>2026</v>
      </c>
    </row>
    <row r="608" spans="1:6" x14ac:dyDescent="0.25">
      <c r="A608">
        <v>1</v>
      </c>
      <c r="B608">
        <v>46081</v>
      </c>
      <c r="C608">
        <v>0</v>
      </c>
      <c r="D608">
        <v>0</v>
      </c>
      <c r="E608" t="s">
        <v>350</v>
      </c>
      <c r="F608">
        <v>2026</v>
      </c>
    </row>
    <row r="609" spans="1:6" x14ac:dyDescent="0.25">
      <c r="A609">
        <v>1</v>
      </c>
      <c r="B609">
        <v>46082</v>
      </c>
      <c r="C609">
        <v>0</v>
      </c>
      <c r="D609">
        <v>0</v>
      </c>
      <c r="E609" t="s">
        <v>352</v>
      </c>
      <c r="F609">
        <v>2026</v>
      </c>
    </row>
    <row r="610" spans="1:6" x14ac:dyDescent="0.25">
      <c r="A610">
        <v>1</v>
      </c>
      <c r="B610">
        <v>46083</v>
      </c>
      <c r="C610">
        <v>1.8721459412316399E-2</v>
      </c>
      <c r="D610">
        <v>-3.4583944665688101E-3</v>
      </c>
      <c r="E610" t="s">
        <v>352</v>
      </c>
      <c r="F610">
        <v>2026</v>
      </c>
    </row>
    <row r="611" spans="1:6" x14ac:dyDescent="0.25">
      <c r="A611">
        <v>1</v>
      </c>
      <c r="B611">
        <v>46084</v>
      </c>
      <c r="C611">
        <v>-2.7992678938686E-2</v>
      </c>
      <c r="D611">
        <v>-1.5616784099274399E-2</v>
      </c>
      <c r="E611" t="s">
        <v>352</v>
      </c>
      <c r="F611">
        <v>2026</v>
      </c>
    </row>
    <row r="612" spans="1:6" x14ac:dyDescent="0.25">
      <c r="A612">
        <v>1</v>
      </c>
      <c r="B612">
        <v>46085</v>
      </c>
      <c r="C612">
        <v>1.1371389634661E-2</v>
      </c>
      <c r="D612">
        <v>8.5999679504298304E-3</v>
      </c>
      <c r="E612" t="s">
        <v>352</v>
      </c>
      <c r="F612">
        <v>2026</v>
      </c>
    </row>
    <row r="613" spans="1:6" x14ac:dyDescent="0.25">
      <c r="A613">
        <v>1</v>
      </c>
      <c r="B613">
        <v>46086</v>
      </c>
      <c r="C613">
        <v>-1.72504888586942E-2</v>
      </c>
      <c r="D613">
        <v>-9.1621650248914204E-3</v>
      </c>
      <c r="E613" t="s">
        <v>352</v>
      </c>
      <c r="F613">
        <v>2026</v>
      </c>
    </row>
    <row r="614" spans="1:6" x14ac:dyDescent="0.25">
      <c r="A614">
        <v>1</v>
      </c>
      <c r="B614">
        <v>46087</v>
      </c>
      <c r="C614">
        <v>-4.1600390627797502E-2</v>
      </c>
      <c r="D614">
        <v>-1.1277994548078501E-2</v>
      </c>
      <c r="E614" t="s">
        <v>352</v>
      </c>
      <c r="F614">
        <v>2026</v>
      </c>
    </row>
    <row r="615" spans="1:6" x14ac:dyDescent="0.25">
      <c r="A615">
        <v>1</v>
      </c>
      <c r="B615">
        <v>46088</v>
      </c>
      <c r="C615">
        <v>0</v>
      </c>
      <c r="D615">
        <v>0</v>
      </c>
      <c r="E615" t="s">
        <v>352</v>
      </c>
      <c r="F615">
        <v>2026</v>
      </c>
    </row>
    <row r="616" spans="1:6" x14ac:dyDescent="0.25">
      <c r="A616">
        <v>1</v>
      </c>
      <c r="B616">
        <v>46089</v>
      </c>
      <c r="C616">
        <v>0</v>
      </c>
      <c r="D616">
        <v>0</v>
      </c>
      <c r="E616" t="s">
        <v>352</v>
      </c>
      <c r="F616">
        <v>2026</v>
      </c>
    </row>
    <row r="617" spans="1:6" x14ac:dyDescent="0.25">
      <c r="A617">
        <v>1</v>
      </c>
      <c r="B617">
        <v>46090</v>
      </c>
      <c r="C617">
        <v>3.44518608389182E-2</v>
      </c>
      <c r="D617">
        <v>7.9468050600064507E-3</v>
      </c>
      <c r="E617" t="s">
        <v>352</v>
      </c>
      <c r="F617">
        <v>2026</v>
      </c>
    </row>
    <row r="618" spans="1:6" x14ac:dyDescent="0.25">
      <c r="A618">
        <v>1</v>
      </c>
      <c r="B618">
        <v>46091</v>
      </c>
      <c r="C618">
        <v>8.4842480326901004E-3</v>
      </c>
      <c r="D618">
        <v>-4.82703137570262E-4</v>
      </c>
      <c r="E618" t="s">
        <v>352</v>
      </c>
      <c r="F618">
        <v>2026</v>
      </c>
    </row>
    <row r="619" spans="1:6" x14ac:dyDescent="0.25">
      <c r="A619">
        <v>1</v>
      </c>
      <c r="B619">
        <v>46092</v>
      </c>
      <c r="C619">
        <v>1.3962762258839E-3</v>
      </c>
      <c r="D619">
        <v>-1.82442584245546E-3</v>
      </c>
      <c r="E619" t="s">
        <v>352</v>
      </c>
      <c r="F619">
        <v>2026</v>
      </c>
    </row>
    <row r="620" spans="1:6" x14ac:dyDescent="0.25">
      <c r="A620">
        <v>1</v>
      </c>
      <c r="B620">
        <v>46093</v>
      </c>
      <c r="C620">
        <v>-2.5605801666167501E-2</v>
      </c>
      <c r="D620">
        <v>-1.5428448553919E-2</v>
      </c>
      <c r="E620" t="s">
        <v>352</v>
      </c>
      <c r="F620">
        <v>2026</v>
      </c>
    </row>
    <row r="621" spans="1:6" x14ac:dyDescent="0.25">
      <c r="A621">
        <v>1</v>
      </c>
      <c r="B621">
        <v>46094</v>
      </c>
      <c r="C621">
        <v>-2.8899331879896901E-3</v>
      </c>
      <c r="D621">
        <v>-7.6440076440076297E-3</v>
      </c>
      <c r="E621" t="s">
        <v>352</v>
      </c>
      <c r="F621">
        <v>2026</v>
      </c>
    </row>
    <row r="622" spans="1:6" x14ac:dyDescent="0.25">
      <c r="A622">
        <v>1</v>
      </c>
      <c r="B622">
        <v>46095</v>
      </c>
      <c r="C622">
        <v>0</v>
      </c>
      <c r="D622">
        <v>0</v>
      </c>
      <c r="E622" t="s">
        <v>352</v>
      </c>
      <c r="F622">
        <v>2026</v>
      </c>
    </row>
    <row r="623" spans="1:6" x14ac:dyDescent="0.25">
      <c r="A623">
        <v>1</v>
      </c>
      <c r="B623">
        <v>46096</v>
      </c>
      <c r="C623">
        <v>0</v>
      </c>
      <c r="D623">
        <v>0</v>
      </c>
      <c r="E623" t="s">
        <v>352</v>
      </c>
      <c r="F623">
        <v>2026</v>
      </c>
    </row>
    <row r="624" spans="1:6" x14ac:dyDescent="0.25">
      <c r="A624">
        <v>1</v>
      </c>
      <c r="B624">
        <v>46097</v>
      </c>
      <c r="C624">
        <v>2.71021458844098E-2</v>
      </c>
      <c r="D624">
        <v>1.2709766162310799E-2</v>
      </c>
      <c r="E624" t="s">
        <v>352</v>
      </c>
      <c r="F624">
        <v>2026</v>
      </c>
    </row>
    <row r="625" spans="1:6" x14ac:dyDescent="0.25">
      <c r="A625">
        <v>1</v>
      </c>
      <c r="B625">
        <v>46098</v>
      </c>
      <c r="C625">
        <v>3.3127738718499201E-3</v>
      </c>
      <c r="D625">
        <v>2.3361947191133901E-3</v>
      </c>
      <c r="E625" t="s">
        <v>352</v>
      </c>
      <c r="F625">
        <v>2026</v>
      </c>
    </row>
    <row r="626" spans="1:6" x14ac:dyDescent="0.25">
      <c r="A626">
        <v>1</v>
      </c>
      <c r="B626">
        <v>46099</v>
      </c>
      <c r="C626">
        <v>-4.6786548518438203E-3</v>
      </c>
      <c r="D626">
        <v>-1.47433465228468E-2</v>
      </c>
      <c r="E626" t="s">
        <v>352</v>
      </c>
      <c r="F626">
        <v>2026</v>
      </c>
    </row>
    <row r="627" spans="1:6" x14ac:dyDescent="0.25">
      <c r="A627">
        <v>1</v>
      </c>
      <c r="B627">
        <v>46100</v>
      </c>
      <c r="C627">
        <v>1.5217112396375399E-2</v>
      </c>
      <c r="D627">
        <v>-2.2005831545359698E-3</v>
      </c>
      <c r="E627" t="s">
        <v>352</v>
      </c>
      <c r="F627">
        <v>2026</v>
      </c>
    </row>
    <row r="628" spans="1:6" x14ac:dyDescent="0.25">
      <c r="A628">
        <v>1</v>
      </c>
      <c r="B628">
        <v>46101</v>
      </c>
      <c r="C628">
        <v>-3.8684551540278701E-2</v>
      </c>
      <c r="D628">
        <v>-1.85808016761317E-2</v>
      </c>
      <c r="E628" t="s">
        <v>352</v>
      </c>
      <c r="F628">
        <v>2026</v>
      </c>
    </row>
    <row r="629" spans="1:6" x14ac:dyDescent="0.25">
      <c r="A629">
        <v>1</v>
      </c>
      <c r="B629">
        <v>46102</v>
      </c>
      <c r="C629">
        <v>0</v>
      </c>
      <c r="D629">
        <v>0</v>
      </c>
      <c r="E629" t="s">
        <v>352</v>
      </c>
      <c r="F629">
        <v>2026</v>
      </c>
    </row>
    <row r="630" spans="1:6" x14ac:dyDescent="0.25">
      <c r="A630">
        <v>1</v>
      </c>
      <c r="B630">
        <v>46103</v>
      </c>
      <c r="C630">
        <v>0</v>
      </c>
      <c r="D630">
        <v>0</v>
      </c>
      <c r="E630" t="s">
        <v>352</v>
      </c>
      <c r="F630">
        <v>2026</v>
      </c>
    </row>
    <row r="631" spans="1:6" x14ac:dyDescent="0.25">
      <c r="A631">
        <v>1</v>
      </c>
      <c r="B631">
        <v>46104</v>
      </c>
      <c r="C631">
        <v>1.6681045366477899E-2</v>
      </c>
      <c r="D631">
        <v>1.42696629213483E-2</v>
      </c>
      <c r="E631" t="s">
        <v>352</v>
      </c>
      <c r="F631">
        <v>2026</v>
      </c>
    </row>
    <row r="632" spans="1:6" x14ac:dyDescent="0.25">
      <c r="A632">
        <v>1</v>
      </c>
      <c r="B632">
        <v>46105</v>
      </c>
      <c r="C632">
        <v>1.1304609329357399E-2</v>
      </c>
      <c r="D632">
        <v>-3.8218677301429201E-3</v>
      </c>
      <c r="E632" t="s">
        <v>352</v>
      </c>
      <c r="F632">
        <v>2026</v>
      </c>
    </row>
    <row r="633" spans="1:6" x14ac:dyDescent="0.25">
      <c r="A633">
        <v>1</v>
      </c>
      <c r="B633">
        <v>46106</v>
      </c>
      <c r="C633">
        <v>1.3380331666843701E-2</v>
      </c>
      <c r="D633">
        <v>7.3394495412843997E-3</v>
      </c>
      <c r="E633" t="s">
        <v>352</v>
      </c>
      <c r="F633">
        <v>2026</v>
      </c>
    </row>
    <row r="634" spans="1:6" x14ac:dyDescent="0.25">
      <c r="A634">
        <v>1</v>
      </c>
      <c r="B634">
        <v>46107</v>
      </c>
      <c r="C634">
        <v>-4.89867488584644E-2</v>
      </c>
      <c r="D634">
        <v>-1.72765910470828E-2</v>
      </c>
      <c r="E634" t="s">
        <v>352</v>
      </c>
      <c r="F634">
        <v>2026</v>
      </c>
    </row>
    <row r="635" spans="1:6" x14ac:dyDescent="0.25">
      <c r="A635">
        <v>1</v>
      </c>
      <c r="B635">
        <v>46108</v>
      </c>
      <c r="C635">
        <v>-1.25336938117538E-2</v>
      </c>
      <c r="D635">
        <v>-1.47157942035497E-2</v>
      </c>
      <c r="E635" t="s">
        <v>352</v>
      </c>
      <c r="F635">
        <v>2026</v>
      </c>
    </row>
    <row r="636" spans="1:6" x14ac:dyDescent="0.25">
      <c r="A636">
        <v>1</v>
      </c>
      <c r="B636">
        <v>46109</v>
      </c>
      <c r="C636">
        <v>0</v>
      </c>
      <c r="D636">
        <v>0</v>
      </c>
      <c r="E636" t="s">
        <v>352</v>
      </c>
      <c r="F636">
        <v>2026</v>
      </c>
    </row>
    <row r="637" spans="1:6" x14ac:dyDescent="0.25">
      <c r="A637">
        <v>1</v>
      </c>
      <c r="B637">
        <v>46110</v>
      </c>
      <c r="C637">
        <v>0</v>
      </c>
      <c r="D637">
        <v>0</v>
      </c>
      <c r="E637" t="s">
        <v>352</v>
      </c>
      <c r="F637">
        <v>2026</v>
      </c>
    </row>
    <row r="638" spans="1:6" x14ac:dyDescent="0.25">
      <c r="A638">
        <v>1</v>
      </c>
      <c r="B638">
        <v>46111</v>
      </c>
      <c r="C638">
        <v>-2.5588269517475601E-2</v>
      </c>
      <c r="D638">
        <v>-2.7362900467449202E-3</v>
      </c>
      <c r="E638" t="s">
        <v>352</v>
      </c>
      <c r="F638">
        <v>2026</v>
      </c>
    </row>
    <row r="639" spans="1:6" x14ac:dyDescent="0.25">
      <c r="A639">
        <v>1</v>
      </c>
      <c r="B639">
        <v>46112</v>
      </c>
      <c r="C639">
        <v>5.2915330771761797E-2</v>
      </c>
      <c r="D639">
        <v>2.90385274951412E-2</v>
      </c>
      <c r="E639" t="s">
        <v>352</v>
      </c>
      <c r="F639">
        <v>2026</v>
      </c>
    </row>
    <row r="640" spans="1:6" x14ac:dyDescent="0.25">
      <c r="A640">
        <v>2</v>
      </c>
      <c r="B640">
        <v>46113</v>
      </c>
      <c r="C640">
        <v>2.62513038089798E-2</v>
      </c>
      <c r="D640">
        <v>9.9433396289301292E-3</v>
      </c>
      <c r="E640" t="s">
        <v>354</v>
      </c>
      <c r="F640">
        <v>2026</v>
      </c>
    </row>
    <row r="641" spans="1:6" x14ac:dyDescent="0.25">
      <c r="A641">
        <v>2</v>
      </c>
      <c r="B641">
        <v>46114</v>
      </c>
      <c r="C641">
        <v>1.4754957199174501E-2</v>
      </c>
      <c r="D641">
        <v>-1.6500742533409599E-4</v>
      </c>
      <c r="E641" t="s">
        <v>354</v>
      </c>
      <c r="F641">
        <v>2026</v>
      </c>
    </row>
    <row r="642" spans="1:6" x14ac:dyDescent="0.25">
      <c r="A642">
        <v>2</v>
      </c>
      <c r="B642">
        <v>46115</v>
      </c>
      <c r="C642">
        <v>0</v>
      </c>
      <c r="D642">
        <v>0</v>
      </c>
      <c r="E642" t="s">
        <v>354</v>
      </c>
      <c r="F642">
        <v>2026</v>
      </c>
    </row>
    <row r="643" spans="1:6" x14ac:dyDescent="0.25">
      <c r="A643">
        <v>2</v>
      </c>
      <c r="B643">
        <v>46116</v>
      </c>
      <c r="C643">
        <v>0</v>
      </c>
      <c r="D643">
        <v>0</v>
      </c>
      <c r="E643" t="s">
        <v>354</v>
      </c>
      <c r="F643">
        <v>2026</v>
      </c>
    </row>
    <row r="644" spans="1:6" x14ac:dyDescent="0.25">
      <c r="A644">
        <v>2</v>
      </c>
      <c r="B644">
        <v>46117</v>
      </c>
      <c r="C644">
        <v>0</v>
      </c>
      <c r="D644">
        <v>0</v>
      </c>
      <c r="E644" t="s">
        <v>354</v>
      </c>
      <c r="F644">
        <v>2026</v>
      </c>
    </row>
    <row r="645" spans="1:6" x14ac:dyDescent="0.25">
      <c r="A645">
        <v>2</v>
      </c>
      <c r="B645">
        <v>46118</v>
      </c>
      <c r="C645">
        <v>-3.5712028914221001E-3</v>
      </c>
      <c r="D645">
        <v>4.07085487952474E-3</v>
      </c>
      <c r="E645" t="s">
        <v>354</v>
      </c>
      <c r="F645">
        <v>2026</v>
      </c>
    </row>
    <row r="646" spans="1:6" x14ac:dyDescent="0.25">
      <c r="A646">
        <v>2</v>
      </c>
      <c r="B646">
        <v>46119</v>
      </c>
      <c r="C646">
        <v>1.2005791549413201E-2</v>
      </c>
      <c r="D646">
        <v>-2.7394258163493401E-4</v>
      </c>
      <c r="E646" t="s">
        <v>354</v>
      </c>
      <c r="F646">
        <v>2026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4F9CFA046F3E4FB3E6D68FED081B33" ma:contentTypeVersion="4" ma:contentTypeDescription="Create a new document." ma:contentTypeScope="" ma:versionID="0cb0243907702e830ff062f2d409c1e8">
  <xsd:schema xmlns:xsd="http://www.w3.org/2001/XMLSchema" xmlns:xs="http://www.w3.org/2001/XMLSchema" xmlns:p="http://schemas.microsoft.com/office/2006/metadata/properties" xmlns:ns2="78516fa7-8f2a-4515-8cb7-3f85100eaf3e" targetNamespace="http://schemas.microsoft.com/office/2006/metadata/properties" ma:root="true" ma:fieldsID="a80a927793e2d14ce059c5a343e186f5" ns2:_="">
    <xsd:import namespace="78516fa7-8f2a-4515-8cb7-3f85100eaf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16fa7-8f2a-4515-8cb7-3f85100eaf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199DFD-2CB1-4F25-BA6B-4F3E4D66E12A}">
  <ds:schemaRefs>
    <ds:schemaRef ds:uri="http://schemas.microsoft.com/DataMashup"/>
  </ds:schemaRefs>
</ds:datastoreItem>
</file>

<file path=customXml/itemProps2.xml><?xml version="1.0" encoding="utf-8"?>
<ds:datastoreItem xmlns:ds="http://schemas.openxmlformats.org/officeDocument/2006/customXml" ds:itemID="{670A7AD4-68DE-450C-A7AF-B9AA3364EA80}">
  <ds:schemaRefs>
    <ds:schemaRef ds:uri="http://schemas.microsoft.com/sharepoint/v3/contenttype/forms"/>
  </ds:schemaRefs>
</ds:datastoreItem>
</file>

<file path=customXml/itemProps3.xml><?xml version="1.0" encoding="utf-8"?>
<ds:datastoreItem xmlns:ds="http://schemas.openxmlformats.org/officeDocument/2006/customXml" ds:itemID="{E3B78106-71B0-49BA-9D9C-3597F5E27B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16fa7-8f2a-4515-8cb7-3f85100eaf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C93C304-AFC6-4387-88E3-4F355576151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Dashboard</vt:lpstr>
      <vt:lpstr>Portfolio Snapshot</vt:lpstr>
      <vt:lpstr>NAV</vt:lpstr>
      <vt:lpstr>Ledger</vt:lpstr>
      <vt:lpstr>StoneX Ledger</vt:lpstr>
      <vt:lpstr>Subscription</vt:lpstr>
      <vt:lpstr>Portfolio Allocation</vt:lpstr>
      <vt:lpstr>Daily Change</vt:lpstr>
      <vt:lpstr>PivotSource</vt:lpstr>
      <vt:lpstr>Dashboard!Print_Area</vt:lpstr>
      <vt:lpstr>'Portfolio Snapshot'!Print_Area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Akinwande</dc:creator>
  <cp:keywords/>
  <dc:description/>
  <cp:lastModifiedBy>Walter Nwaugo</cp:lastModifiedBy>
  <cp:revision/>
  <dcterms:created xsi:type="dcterms:W3CDTF">2024-02-15T11:20:38Z</dcterms:created>
  <dcterms:modified xsi:type="dcterms:W3CDTF">2026-08-08T16:19:13Z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0x010100D54F9CFA046F3E4FB3E6D68FED081B33</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ies>
</file>